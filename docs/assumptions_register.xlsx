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<sst xmlns="http://schemas.openxmlformats.org/spreadsheetml/2006/main" count="1552" uniqueCount="641">
  <si>
    <t xml:space="preserve">Mwangaza AV: assumptions register (synthetic case study)</t>
  </si>
  <si>
    <t xml:space="preserve">STATUS: all values are accepted as working assumptions (2026-10-10). Two rows still need work: P11 (VAT) must be verified, and R06 (seasonality) is unknown. Any row can be revisited.</t>
  </si>
  <si>
    <t xml:space="preserve">HOW TO USE</t>
  </si>
  <si>
    <t xml:space="preserve">Blue numbers are assumed values (inputs). Black text is explanation. Green numbers on Planted_problems are links to the Parameters sheet.</t>
  </si>
  <si>
    <t xml:space="preserve">Columns M and N of the Parameters sheet record the review decision (Accept, Change or Reject) and a note for each row.</t>
  </si>
  <si>
    <t xml:space="preserve">Example: Decision = Change; Note = the reason for the change.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</si>
  <si>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</si>
  <si>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</si>
  <si>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</si>
  <si>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These ranges could not be verified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</si>
  <si>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</si>
  <si>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</si>
  <si>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</si>
  <si>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</si>
  <si>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</si>
  <si>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</si>
  <si>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</si>
  <si>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</si>
  <si>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</si>
  <si>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</si>
  <si>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</si>
  <si>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</si>
  <si>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Values are working assumptions. Columns M and N record the review decision and a note. Low, Central and High form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</si>
  <si>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</si>
  <si>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</si>
  <si>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</si>
  <si>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</si>
  <si>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</si>
  <si>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</si>
  <si>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</si>
  <si>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</si>
  <si>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</si>
  <si>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</si>
  <si>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</si>
  <si>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</si>
  <si>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Decision</t>
  </si>
  <si>
    <t xml:space="preserve">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</si>
  <si>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</si>
  <si>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</si>
  <si>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</si>
  <si>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</si>
  <si>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</si>
  <si>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</si>
  <si>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</si>
  <si>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</si>
  <si>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</t>
  </si>
  <si>
    <t xml:space="preserve">Accept</t>
  </si>
  <si>
    <t xml:space="preserve">Accepted as a working value.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</si>
  <si>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</si>
  <si>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</si>
  <si>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</si>
  <si>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</si>
  <si>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</si>
  <si>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</si>
  <si>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</si>
  <si>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</si>
  <si>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</si>
  <si>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</si>
  <si>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</si>
  <si>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</si>
  <si>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</si>
  <si>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</si>
  <si>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</si>
  <si>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 one currency and avoid copying any real firm's footprint.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</si>
  <si>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</si>
  <si>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</si>
  <si>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</si>
  <si>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</si>
  <si>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</si>
  <si>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</si>
  <si>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</si>
  <si>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</si>
  <si>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</si>
  <si>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</si>
  <si>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</si>
  <si>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</si>
  <si>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</si>
  <si>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</si>
  <si>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</si>
  <si>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</si>
  <si>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</si>
  <si>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</si>
  <si>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</si>
  <si>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</si>
  <si>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</si>
  <si>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</si>
  <si>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</si>
  <si>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</si>
  <si>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</si>
  <si>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</si>
  <si>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</si>
  <si>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</si>
  <si>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</si>
  <si>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</si>
  <si>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</si>
  <si>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</si>
  <si>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</si>
  <si>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</si>
  <si>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</si>
  <si>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</si>
  <si>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</si>
  <si>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</si>
  <si>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</si>
  <si>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</si>
  <si>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</si>
  <si>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</si>
  <si>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</si>
  <si>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</si>
  <si>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</si>
  <si>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</si>
  <si>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</si>
  <si>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</si>
  <si>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</si>
  <si>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</si>
  <si>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</si>
  <si>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</si>
  <si>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</si>
  <si>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</si>
  <si>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</si>
  <si>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</si>
  <si>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</si>
  <si>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</si>
  <si>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</si>
  <si>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</si>
  <si>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</si>
  <si>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</si>
  <si>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</si>
  <si>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</si>
  <si>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</si>
  <si>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</si>
  <si>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</si>
  <si>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</si>
  <si>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</si>
  <si>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</si>
  <si>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</si>
  <si>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</si>
  <si>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</si>
  <si>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</si>
  <si>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</si>
  <si>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</si>
  <si>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</si>
  <si>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</si>
  <si>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</si>
  <si>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</si>
  <si>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</si>
  <si>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</si>
  <si>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</si>
  <si>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</si>
  <si>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</si>
  <si>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</si>
  <si>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</si>
  <si>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</si>
  <si>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</si>
  <si>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</si>
  <si>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</si>
  <si>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</si>
  <si>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</si>
  <si>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</si>
  <si>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</si>
  <si>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</si>
  <si>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</si>
  <si>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</si>
  <si>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</si>
  <si>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</si>
  <si>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</si>
  <si>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</si>
  <si>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CHANGED (Stage 12b)</t>
  </si>
  <si>
    <t xml:space="preserve">Change</t>
  </si>
  <si>
    <t xml:space="preserve">Changed on 2026-10-14 after the data profile showed repairs at 24.7% of rental billing. Damage-repair costs were scaled by 0.4 (Stage 12b). Original values: 2% / 8% / 25%. The new target of about 10% of rental billing is a judgement, not a sourced figure.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</si>
  <si>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</si>
  <si>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</si>
  <si>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</si>
  <si>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</si>
  <si>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Accepted as a working value.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</si>
  <si>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</si>
  <si>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</si>
  <si>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</si>
  <si>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</si>
  <si>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</si>
  <si>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</si>
  <si>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</si>
  <si>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</si>
  <si>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</si>
  <si>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</si>
  <si>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</si>
  <si>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</si>
  <si>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</si>
  <si>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</si>
  <si>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</si>
  <si>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</si>
  <si>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</si>
  <si>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</si>
  <si>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</si>
  <si>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</si>
  <si>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</si>
  <si>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</si>
  <si>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</si>
  <si>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</si>
  <si>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</si>
  <si>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</si>
  <si>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</si>
  <si>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</si>
  <si>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</si>
  <si>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</si>
  <si>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</si>
  <si>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</si>
  <si>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</si>
  <si>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</si>
  <si>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</si>
  <si>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</si>
  <si>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</si>
  <si>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</si>
  <si>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</si>
  <si>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</si>
  <si>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</si>
  <si>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</si>
  <si>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</si>
  <si>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</si>
  <si>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</si>
  <si>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Accepted as a working value.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</si>
  <si>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</si>
  <si>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</si>
  <si>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</si>
  <si>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</si>
  <si>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</si>
  <si>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</si>
  <si>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</si>
  <si>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</si>
  <si>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</si>
  <si>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</si>
  <si>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</si>
  <si>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</si>
  <si>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</si>
  <si>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</si>
  <si>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</si>
  <si>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</si>
  <si>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</si>
  <si>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</si>
  <si>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</si>
  <si>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</si>
  <si>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</si>
  <si>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</si>
  <si>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</si>
  <si>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</si>
  <si>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(Stage 6)</t>
  </si>
  <si>
    <t xml:space="preserve">Added at Stage 6. Accepted as a working value.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</si>
  <si>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</si>
  <si>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</si>
  <si>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</si>
  <si>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</si>
  <si>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</si>
  <si>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</si>
  <si>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</si>
  <si>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</si>
  <si>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</si>
  <si>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</si>
  <si>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</si>
  <si>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</si>
  <si>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</si>
  <si>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</si>
  <si>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</si>
  <si>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</si>
  <si>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</si>
  <si>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</si>
  <si>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</si>
  <si>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</si>
  <si>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</si>
  <si>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</si>
  <si>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</si>
  <si>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</si>
  <si>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</si>
  <si>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</si>
  <si>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</si>
  <si>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</si>
  <si>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</si>
  <si>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</si>
  <si>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</si>
  <si>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</si>
  <si>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</si>
  <si>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</si>
  <si>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</si>
  <si>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</si>
  <si>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</si>
  <si>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</si>
  <si>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</si>
  <si>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</si>
  <si>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</si>
  <si>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</si>
  <si>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(Stage 7)</t>
  </si>
  <si>
    <t xml:space="preserve">Added at Stage 7. Accepted as a working value.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</si>
  <si>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</si>
  <si>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</si>
  <si>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</si>
  <si>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</si>
  <si>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</si>
  <si>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</si>
  <si>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</si>
  <si>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</si>
  <si>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</si>
  <si>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</si>
  <si>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</si>
  <si>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</si>
  <si>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</si>
  <si>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</si>
  <si>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</si>
  <si>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</si>
  <si>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</si>
  <si>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</si>
  <si>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</si>
  <si>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</si>
  <si>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</si>
  <si>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</si>
  <si>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C06</t>
  </si>
  <si>
    <t xml:space="preserve">Stage 8 additions</t>
  </si>
  <si>
    <t xml:space="preserve">Share of non-won quotes that expire with no answer</t>
  </si>
  <si>
    <t xml:space="preserve">Quotes with status expired and no decision date</t>
  </si>
  <si>
    <t xml:space="preserve">ACCEPTED (Stage 8)</t>
  </si>
  <si>
    <t xml:space="preserve">Added at Stage 8. Accepted as a working value.</t>
  </si>
  <si>
    <t xml:space="preserve">OF1</t>
  </si>
  <si>
    <t xml:space="preserve">Share of quotes and jobs handled by the Nairobi office (rest: Mombasa)</t>
  </si>
  <si>
    <t xml:space="preserve">office_name on quotes, jobs, orders and bookings</t>
  </si>
  <si>
    <t xml:space="preserve">D06</t>
  </si>
  <si>
    <t xml:space="preserve">Share of a duplicated customer's records that use the duplicate code</t>
  </si>
  <si>
    <t xml:space="preserve">Makes the duplicate customers matter: some quotes and jobs point to the duplicate code</t>
  </si>
  <si>
    <t xml:space="preserve">M10</t>
  </si>
  <si>
    <t xml:space="preserve">Cost noise on equipment, subcontractor and transport</t>
  </si>
  <si>
    <t xml:space="preserve">Actual cost against quoted cost, ordinary jobs</t>
  </si>
  <si>
    <t xml:space="preserve">CM1</t>
  </si>
  <si>
    <t xml:space="preserve">Share of a job's quoted cost: Equipment</t>
  </si>
  <si>
    <t xml:space="preserve">S4</t>
  </si>
  <si>
    <t xml:space="preserve">The five shares CM1 to CM5 must add up to 100%. Labour (CM2 + CM3) is 46% of cost, about 30% of price at a 35% margin, matching M02</t>
  </si>
  <si>
    <t xml:space="preserve">CM2</t>
  </si>
  <si>
    <t xml:space="preserve">Share of a job's quoted cost: Installation labour</t>
  </si>
  <si>
    <t xml:space="preserve">As above</t>
  </si>
  <si>
    <t xml:space="preserve">CM3</t>
  </si>
  <si>
    <t xml:space="preserve">Share of a job's quoted cost: Programming and commissioning labour</t>
  </si>
  <si>
    <t xml:space="preserve">As above. Commissioning is where estimates go wrong most (S1)</t>
  </si>
  <si>
    <t xml:space="preserve">CM4</t>
  </si>
  <si>
    <t xml:space="preserve">Share of a job's quoted cost: Subcontractor</t>
  </si>
  <si>
    <t xml:space="preserve">CM5</t>
  </si>
  <si>
    <t xml:space="preserve">Share of a job's quoted cost: Transport and logistics</t>
  </si>
  <si>
    <t xml:space="preserve">L01</t>
  </si>
  <si>
    <t xml:space="preserve">Installation labour rate (KES per hour)</t>
  </si>
  <si>
    <t xml:space="preserve">unit_cost on installation labour lines. PLACEHOLDER: Kenyan rates not verified.</t>
  </si>
  <si>
    <t xml:space="preserve">L02</t>
  </si>
  <si>
    <t xml:space="preserve">Programming and commissioning labour rate (KES per hour)</t>
  </si>
  <si>
    <t xml:space="preserve">unit_cost on commissioning labour lines. PLACEHOLDER: Kenyan rates not verified.</t>
  </si>
  <si>
    <t xml:space="preserve">G22</t>
  </si>
  <si>
    <t xml:space="preserve">Commissioning-heavy job types</t>
  </si>
  <si>
    <t xml:space="preserve">Control room installation; Smart office and automation</t>
  </si>
  <si>
    <t xml:space="preserve">These get the labour overrun M04 on commissioning labour (planted problem X06)</t>
  </si>
  <si>
    <t xml:space="preserve">G23</t>
  </si>
  <si>
    <t xml:space="preserve">Loss-making job type</t>
  </si>
  <si>
    <t xml:space="preserve">Auditorium and hall fit-out</t>
  </si>
  <si>
    <t xml:space="preserve">Average margin set by M06 (planted problem X07)</t>
  </si>
  <si>
    <t xml:space="preserve">G24</t>
  </si>
  <si>
    <t xml:space="preserve">Job value scale factor by job type (multiplies the M07 spread)</t>
  </si>
  <si>
    <t xml:space="preserve">Maintenance 0.3; Public address 0.5; Conference room 0.6; Stage lighting 0.8; Video wall 1.0; Smart office 1.0; Control room 2.0; Auditorium 2.5</t>
  </si>
  <si>
    <t xml:space="preserve">So a maintenance contract is not as big as an auditorium fit-out. Values are clipped to the M07 range</t>
  </si>
  <si>
    <t xml:space="preserve">G25</t>
  </si>
  <si>
    <t xml:space="preserve">Quote dates</t>
  </si>
  <si>
    <t xml:space="preserve">Spread evenly from 2023-10-01 to 2026-09-30</t>
  </si>
  <si>
    <t xml:space="preserve">quote_date. Quotes decided after the as-of date stay open</t>
  </si>
  <si>
    <t xml:space="preserve">G26</t>
  </si>
  <si>
    <t xml:space="preserve">Job timing</t>
  </si>
  <si>
    <t xml:space="preserve">Starts 0 to 30 days after the decision; lasts about 7 to 72 days, longer for bigger jobs; no cancelled jobs</t>
  </si>
  <si>
    <t xml:space="preserve">start_date and end_date. Jobs not finished by the as-of date are in_progress</t>
  </si>
  <si>
    <t xml:space="preserve">G27</t>
  </si>
  <si>
    <t xml:space="preserve">How the quote decision time is spread (shape)</t>
  </si>
  <si>
    <t xml:space="preserve">Days from quote to decision = low + (high - low) x (random number to the power 4). The mean matches the C04 central value</t>
  </si>
  <si>
    <t xml:space="preserve">Most quotes are decided quickly, a few take long</t>
  </si>
  <si>
    <t xml:space="preserve">V01</t>
  </si>
  <si>
    <t xml:space="preserve">Stage 9 additions</t>
  </si>
  <si>
    <t xml:space="preserve">Product sales orders over the window</t>
  </si>
  <si>
    <t xml:space="preserve">Rows in sales_order. Includes orders that come from quotes and orders with no quote</t>
  </si>
  <si>
    <t xml:space="preserve">ACCEPTED (Stage 9)</t>
  </si>
  <si>
    <t xml:space="preserve">Added at Stage 9. Accepted as a working value.</t>
  </si>
  <si>
    <t xml:space="preserve">V02</t>
  </si>
  <si>
    <t xml:space="preserve">Share of sales orders that come from a quote (the rest are counter or walk-in sales)</t>
  </si>
  <si>
    <t xml:space="preserve">Sets how many products quotes are created: orders from quotes divided by the win rate C02</t>
  </si>
  <si>
    <t xml:space="preserve">V03</t>
  </si>
  <si>
    <t xml:space="preserve">Stock adjustments over the window (count, damage or count differences)</t>
  </si>
  <si>
    <t xml:space="preserve">stock_movement rows of type adjustment</t>
  </si>
  <si>
    <t xml:space="preserve">V05</t>
  </si>
  <si>
    <t xml:space="preserve">Discount given on product sales (share off list price)</t>
  </si>
  <si>
    <t xml:space="preserve">unit_price = list price x (1 - discount). Most discounts are small, a few are large (the draw is squared)</t>
  </si>
  <si>
    <t xml:space="preserve">V06</t>
  </si>
  <si>
    <t xml:space="preserve">Stock bought each quarter as a multiple of that quarter's sales</t>
  </si>
  <si>
    <t xml:space="preserve">Purchase quantity = quarter's sales x this + 5 units. Keeps stock from running out</t>
  </si>
  <si>
    <t xml:space="preserve">G28</t>
  </si>
  <si>
    <t xml:space="preserve">Stock buying pattern</t>
  </si>
  <si>
    <t xml:space="preserve">One purchase per product per quarter (a few days before the quarter starts), plus 5 spare units. Dead-stock products also get one big extra purchase between 2025-04-01 and 2025-09-15</t>
  </si>
  <si>
    <t xml:space="preserve">stock_movement purchases</t>
  </si>
  <si>
    <t xml:space="preserve">G29</t>
  </si>
  <si>
    <t xml:space="preserve">Dead-stock rule</t>
  </si>
  <si>
    <t xml:space="preserve">Dead-stock products have no sales orders after 2025-09-27 (12 months before the as-of date, with a few days of room for delivery)</t>
  </si>
  <si>
    <t xml:space="preserve">Planted problem X11</t>
  </si>
  <si>
    <t xml:space="preserve">G30</t>
  </si>
  <si>
    <t xml:space="preserve">Largest quantity per order line, by category</t>
  </si>
  <si>
    <t xml:space="preserve">Cables 40; Lighting 12; Control 10; Microphones 8; Loudspeakers 8; Displays 6; Video conferencing 4; Mixers 3. Most lines are small</t>
  </si>
  <si>
    <t xml:space="preserve">quantity on sales_order_line</t>
  </si>
  <si>
    <t xml:space="preserve">G31</t>
  </si>
  <si>
    <t xml:space="preserve">Sales order timing and size</t>
  </si>
  <si>
    <t xml:space="preserve">1 to 4 product lines per order. Stock leaves 0 to 2 days after the order date. Orders in the last 7 days are still open. No cancelled orders</t>
  </si>
  <si>
    <t xml:space="preserve">sales_order and stock_movement dates</t>
  </si>
  <si>
    <t xml:space="preserve">I01</t>
  </si>
  <si>
    <t xml:space="preserve">Stage 10 additions</t>
  </si>
  <si>
    <t xml:space="preserve">PLANTED: utilisation of the idle assets (share of available days on hire)</t>
  </si>
  <si>
    <t xml:space="preserve">The assets marked idle in Stage 7. Must stay under 10%</t>
  </si>
  <si>
    <t xml:space="preserve">ACCEPTED (Stage 10)</t>
  </si>
  <si>
    <t xml:space="preserve">Added at Stage 10. Accepted as a working value.</t>
  </si>
  <si>
    <t xml:space="preserve">R13</t>
  </si>
  <si>
    <t xml:space="preserve">PLANTED: repair-prone assets have damage this many times more often</t>
  </si>
  <si>
    <t xml:space="preserve">Multiplies the time lost to repairs (R04) for the idle, repair-prone assets</t>
  </si>
  <si>
    <t xml:space="preserve">R14</t>
  </si>
  <si>
    <t xml:space="preserve">PLANTED: repair-prone assets cost this many times more per repair</t>
  </si>
  <si>
    <t xml:space="preserve">Multiplies the repair cost (R05) for the idle, repair-prone assets</t>
  </si>
  <si>
    <t xml:space="preserve">R15</t>
  </si>
  <si>
    <t xml:space="preserve">Discount on rental rates (share off the rate card)</t>
  </si>
  <si>
    <t xml:space="preserve">One discount per booking. Most are small, a few large (the draw is squared)</t>
  </si>
  <si>
    <t xml:space="preserve">G32</t>
  </si>
  <si>
    <t xml:space="preserve">How rentals are built</t>
  </si>
  <si>
    <t xml:space="preserve">Each asset gets its own non-overlapping run of rentals, sized to hit its utilisation target. Rentals of different assets that start on the same day and last the same time are grouped into one booking</t>
  </si>
  <si>
    <t xml:space="preserve">Gives exact utilisation without double-bookings (except the planted ones)</t>
  </si>
  <si>
    <t xml:space="preserve">G33</t>
  </si>
  <si>
    <t xml:space="preserve">Rental length in days</t>
  </si>
  <si>
    <t xml:space="preserve">1 (20%), 2 (25%), 3 (20%), 4 (12%), 5 (10%), 7 (8%), 10 (5%). Mean 3.34 days</t>
  </si>
  <si>
    <t xml:space="preserve">rental_booking start_date and end_date</t>
  </si>
  <si>
    <t xml:space="preserve">G34</t>
  </si>
  <si>
    <t xml:space="preserve">Utilisation target per asset</t>
  </si>
  <si>
    <t xml:space="preserve">A random value inside the register range for its group: event kit R01, core fleet R02, idle assets I01</t>
  </si>
  <si>
    <t xml:space="preserve">S7, S8</t>
  </si>
  <si>
    <t xml:space="preserve">Group averages therefore sit at the central values</t>
  </si>
  <si>
    <t xml:space="preserve">G35</t>
  </si>
  <si>
    <t xml:space="preserve">Repairs</t>
  </si>
  <si>
    <t xml:space="preserve">Damage is found when a rental ends, and the asset is then out of service for 2 to 10 days. One routine service a year (no downtime). Assets marked in_repair have a 30-day repair running at the as-of date</t>
  </si>
  <si>
    <t xml:space="preserve">maintenance_event rows</t>
  </si>
  <si>
    <t xml:space="preserve">G36</t>
  </si>
  <si>
    <t xml:space="preserve">What is not modelled in rentals</t>
  </si>
  <si>
    <t xml:space="preserve">No seasonality (R06 is not used), no cancelled or future bookings, no deposits. Every booking is completed</t>
  </si>
  <si>
    <t xml:space="preserve">Known limitations</t>
  </si>
  <si>
    <t xml:space="preserve">R11</t>
  </si>
  <si>
    <t xml:space="preserve">Stage 11 additions</t>
  </si>
  <si>
    <t xml:space="preserve">Share of rental bookings that had a formal quote (the rest are repeat or simple bookings)</t>
  </si>
  <si>
    <t xml:space="preserve">Sets how many rental quotes are won. Rental quotes in total = won quotes divided by the win rate C03</t>
  </si>
  <si>
    <t xml:space="preserve">ACCEPTED (Stage 11)</t>
  </si>
  <si>
    <t xml:space="preserve">Added at Stage 11. Accepted as a working value.</t>
  </si>
  <si>
    <t xml:space="preserve">R12</t>
  </si>
  <si>
    <t xml:space="preserve">Direct cost of a rental as a share of its price (crew, handling, transport; shown on the quote only)</t>
  </si>
  <si>
    <t xml:space="preserve">quoted_cost on rental quotes. Rental costs are not recorded anywhere else in the model</t>
  </si>
  <si>
    <t xml:space="preserve">G37</t>
  </si>
  <si>
    <t xml:space="preserve">Price of rental quotes that were not won</t>
  </si>
  <si>
    <t xml:space="preserve">Between 1 and 6 randomly chosen assets, for a rental length drawn as in G33, at their rate-card prices</t>
  </si>
  <si>
    <t xml:space="preserve">quoted_price on lost, expired and open rental quotes</t>
  </si>
  <si>
    <t xml:space="preserve">G38</t>
  </si>
  <si>
    <t xml:space="preserve">Timing of won rental quotes</t>
  </si>
  <si>
    <t xml:space="preserve">The quote is decided (days drawn as in G27), then the rental starts 1 to 14 days later. Bookings in the first weeks of history cannot have a quote and are left without one</t>
  </si>
  <si>
    <t xml:space="preserve">quote_date and decision_date on won rental quotes</t>
  </si>
  <si>
    <t xml:space="preserve">P12</t>
  </si>
  <si>
    <t xml:space="preserve">Stage 12 additions</t>
  </si>
  <si>
    <t xml:space="preserve">Share of the business (by customer activity) that comes from customers who pay promptly, within 30 days of the invoice</t>
  </si>
  <si>
    <t xml:space="preserve">Sets which customers are prompt payers, so that the share of invoices paid over 30 days after the invoice (P06) lands near 60%. Prompt payers are never the habitual late payers (P07)</t>
  </si>
  <si>
    <t xml:space="preserve">ACCEPTED (Stage 12)</t>
  </si>
  <si>
    <t xml:space="preserve">Added at Stage 12. Accepted as a working value.</t>
  </si>
  <si>
    <t xml:space="preserve">G39</t>
  </si>
  <si>
    <t xml:space="preserve">How invoices are raised</t>
  </si>
  <si>
    <t xml:space="preserve">Projects: 1 to 4 invoices per job (a deposit at the start, the last at the end); only invoices dated up to the as-of date exist. Products: one invoice per delivered order, 0 to 2 days after the order. Rentals: one invoice per booking, 0 to 3 days after it ends. VAT is added at the P11 rate</t>
  </si>
  <si>
    <t xml:space="preserve">Invoice dates and amounts. The VAT rate still needs verifying (row P11)</t>
  </si>
  <si>
    <t xml:space="preserve">G40</t>
  </si>
  <si>
    <t xml:space="preserve">How fast each kind of customer pays</t>
  </si>
  <si>
    <t xml:space="preserve">Habitual late payers (P07): the payment terms + 60 to 120 days. Prompt payers (P12): 5 to 30 days after the invoice. Everyone else: the sector ranges P02 to P05, with the average at the central value</t>
  </si>
  <si>
    <t xml:space="preserve">S10, S11, S12</t>
  </si>
  <si>
    <t xml:space="preserve">Payment dates. Customers keep their payment habit for all their invoices</t>
  </si>
  <si>
    <t xml:space="preserve">G41</t>
  </si>
  <si>
    <t xml:space="preserve">Parts and bundles</t>
  </si>
  <si>
    <t xml:space="preserve">Some invoices are paid in two parts (P08; second part 10 to 40 days later). Some invoices of the same customer paid in the same week are paid by one payment (P09). A payment is only recorded if it falls on or before the as-of date, so late invoices stay unpaid</t>
  </si>
  <si>
    <t xml:space="preserve">payment and payment_allocation rows</t>
  </si>
  <si>
    <t xml:space="preserve">G42</t>
  </si>
  <si>
    <t xml:space="preserve">Payment method mix</t>
  </si>
  <si>
    <t xml:space="preserve">Bank transfer 55%, mobile money 25%, cheque 15%, cash 5%</t>
  </si>
  <si>
    <t xml:space="preserve">payment_method</t>
  </si>
  <si>
    <t xml:space="preserve">Price bands per category (KES, before VAT)</t>
  </si>
  <si>
    <t xml:space="preserve">PLACEHOLDERS for realistic scale. Not Kenyan market prices; these could not be verified.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</si>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</sst>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0%;\-0%"/>
    <numFmt numFmtId="168" formatCode="0"/>
    <numFmt numFmtId="169" formatCode="0.0%"/>
    <numFmt numFmtId="170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116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115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1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5" t="n">
        <v>0.008</v>
      </c>
      <c r="E36" s="15" t="n">
        <v>0.033</v>
      </c>
      <c r="F36" s="15" t="n">
        <v>0.1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166</v>
      </c>
      <c r="M36" s="10" t="s">
        <v>167</v>
      </c>
      <c r="N36" s="10" t="s">
        <v>168</v>
      </c>
    </row>
    <row r="37" customFormat="false" ht="23.25" hidden="false" customHeight="true" outlineLevel="0" collapsed="false">
      <c r="A37" s="8" t="s">
        <v>169</v>
      </c>
      <c r="B37" s="8" t="s">
        <v>149</v>
      </c>
      <c r="C37" s="8" t="s">
        <v>170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171</v>
      </c>
      <c r="L37" s="8" t="s">
        <v>172</v>
      </c>
      <c r="M37" s="10" t="s">
        <v>46</v>
      </c>
      <c r="N37" s="10" t="s">
        <v>173</v>
      </c>
    </row>
    <row r="38" customFormat="false" ht="15" hidden="false" customHeight="true" outlineLevel="0" collapsed="false">
      <c r="A38" s="8" t="s">
        <v>174</v>
      </c>
      <c r="B38" s="8" t="s">
        <v>149</v>
      </c>
      <c r="C38" s="8" t="s">
        <v>175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176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177</v>
      </c>
      <c r="B39" s="8" t="s">
        <v>178</v>
      </c>
      <c r="C39" s="8" t="s">
        <v>179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180</v>
      </c>
      <c r="J39" s="8" t="s">
        <v>97</v>
      </c>
      <c r="K39" s="8" t="s">
        <v>181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182</v>
      </c>
      <c r="B40" s="8" t="s">
        <v>178</v>
      </c>
      <c r="C40" s="8" t="s">
        <v>183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184</v>
      </c>
      <c r="J40" s="8" t="s">
        <v>97</v>
      </c>
      <c r="K40" s="8" t="s">
        <v>185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186</v>
      </c>
      <c r="B41" s="8" t="s">
        <v>178</v>
      </c>
      <c r="C41" s="8" t="s">
        <v>187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188</v>
      </c>
      <c r="J41" s="8" t="s">
        <v>114</v>
      </c>
      <c r="K41" s="8" t="s">
        <v>189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190</v>
      </c>
      <c r="B42" s="8" t="s">
        <v>178</v>
      </c>
      <c r="C42" s="8" t="s">
        <v>191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188</v>
      </c>
      <c r="J42" s="8" t="s">
        <v>114</v>
      </c>
      <c r="K42" s="8" t="s">
        <v>192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193</v>
      </c>
      <c r="B43" s="8" t="s">
        <v>178</v>
      </c>
      <c r="C43" s="8" t="s">
        <v>194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195</v>
      </c>
      <c r="J43" s="8" t="s">
        <v>97</v>
      </c>
      <c r="K43" s="8" t="s">
        <v>196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197</v>
      </c>
      <c r="B44" s="8" t="s">
        <v>178</v>
      </c>
      <c r="C44" s="8" t="s">
        <v>198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180</v>
      </c>
      <c r="J44" s="8" t="s">
        <v>97</v>
      </c>
      <c r="K44" s="8" t="s">
        <v>199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200</v>
      </c>
      <c r="B45" s="8" t="s">
        <v>178</v>
      </c>
      <c r="C45" s="8" t="s">
        <v>201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202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203</v>
      </c>
      <c r="B46" s="8" t="s">
        <v>178</v>
      </c>
      <c r="C46" s="8" t="s">
        <v>204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205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206</v>
      </c>
      <c r="B47" s="8" t="s">
        <v>178</v>
      </c>
      <c r="C47" s="8" t="s">
        <v>207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208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209</v>
      </c>
      <c r="B48" s="8" t="s">
        <v>178</v>
      </c>
      <c r="C48" s="8" t="s">
        <v>210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211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212</v>
      </c>
      <c r="B49" s="8" t="s">
        <v>178</v>
      </c>
      <c r="C49" s="8" t="s">
        <v>213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214</v>
      </c>
      <c r="I49" s="8" t="s">
        <v>215</v>
      </c>
      <c r="J49" s="8" t="s">
        <v>216</v>
      </c>
      <c r="K49" s="8" t="s">
        <v>217</v>
      </c>
      <c r="L49" s="8" t="s">
        <v>218</v>
      </c>
      <c r="M49" s="10" t="s">
        <v>46</v>
      </c>
      <c r="N49" s="10" t="s">
        <v>219</v>
      </c>
    </row>
    <row r="50" customFormat="false" ht="15" hidden="false" customHeight="true" outlineLevel="0" collapsed="false">
      <c r="A50" s="8" t="s">
        <v>220</v>
      </c>
      <c r="B50" s="8" t="s">
        <v>221</v>
      </c>
      <c r="C50" s="8" t="s">
        <v>222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223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224</v>
      </c>
      <c r="B51" s="8" t="s">
        <v>225</v>
      </c>
      <c r="C51" s="8" t="s">
        <v>226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227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228</v>
      </c>
      <c r="B52" s="8" t="s">
        <v>225</v>
      </c>
      <c r="C52" s="8" t="s">
        <v>229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230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231</v>
      </c>
      <c r="B53" s="8" t="s">
        <v>225</v>
      </c>
      <c r="C53" s="8" t="s">
        <v>232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233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234</v>
      </c>
      <c r="B54" s="8" t="s">
        <v>225</v>
      </c>
      <c r="C54" s="8" t="s">
        <v>235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236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237</v>
      </c>
      <c r="B55" s="8" t="s">
        <v>225</v>
      </c>
      <c r="C55" s="8" t="s">
        <v>238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239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240</v>
      </c>
      <c r="B56" s="8" t="s">
        <v>241</v>
      </c>
      <c r="C56" s="8" t="s">
        <v>242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243</v>
      </c>
      <c r="L56" s="8" t="s">
        <v>244</v>
      </c>
      <c r="M56" s="10" t="s">
        <v>46</v>
      </c>
      <c r="N56" s="10" t="s">
        <v>245</v>
      </c>
    </row>
    <row r="57" customFormat="false" ht="34.5" hidden="false" customHeight="true" outlineLevel="0" collapsed="false">
      <c r="A57" s="8" t="s">
        <v>246</v>
      </c>
      <c r="B57" s="8" t="s">
        <v>241</v>
      </c>
      <c r="C57" s="8" t="s">
        <v>247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248</v>
      </c>
      <c r="L57" s="8" t="s">
        <v>244</v>
      </c>
      <c r="M57" s="10" t="s">
        <v>46</v>
      </c>
      <c r="N57" s="10" t="s">
        <v>245</v>
      </c>
    </row>
    <row r="58" customFormat="false" ht="34.5" hidden="false" customHeight="true" outlineLevel="0" collapsed="false">
      <c r="A58" s="8" t="s">
        <v>249</v>
      </c>
      <c r="B58" s="8" t="s">
        <v>241</v>
      </c>
      <c r="C58" s="8" t="s">
        <v>250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248</v>
      </c>
      <c r="L58" s="8" t="s">
        <v>244</v>
      </c>
      <c r="M58" s="10" t="s">
        <v>46</v>
      </c>
      <c r="N58" s="10" t="s">
        <v>245</v>
      </c>
    </row>
    <row r="59" customFormat="false" ht="34.5" hidden="false" customHeight="true" outlineLevel="0" collapsed="false">
      <c r="A59" s="8" t="s">
        <v>251</v>
      </c>
      <c r="B59" s="8" t="s">
        <v>241</v>
      </c>
      <c r="C59" s="8" t="s">
        <v>252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248</v>
      </c>
      <c r="L59" s="8" t="s">
        <v>244</v>
      </c>
      <c r="M59" s="10" t="s">
        <v>46</v>
      </c>
      <c r="N59" s="10" t="s">
        <v>245</v>
      </c>
    </row>
    <row r="60" customFormat="false" ht="34.5" hidden="false" customHeight="true" outlineLevel="0" collapsed="false">
      <c r="A60" s="8" t="s">
        <v>253</v>
      </c>
      <c r="B60" s="8" t="s">
        <v>241</v>
      </c>
      <c r="C60" s="8" t="s">
        <v>254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248</v>
      </c>
      <c r="L60" s="8" t="s">
        <v>244</v>
      </c>
      <c r="M60" s="10" t="s">
        <v>46</v>
      </c>
      <c r="N60" s="10" t="s">
        <v>245</v>
      </c>
    </row>
    <row r="61" customFormat="false" ht="34.5" hidden="false" customHeight="true" outlineLevel="0" collapsed="false">
      <c r="A61" s="8" t="s">
        <v>255</v>
      </c>
      <c r="B61" s="8" t="s">
        <v>241</v>
      </c>
      <c r="C61" s="8" t="s">
        <v>256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248</v>
      </c>
      <c r="L61" s="8" t="s">
        <v>244</v>
      </c>
      <c r="M61" s="10" t="s">
        <v>46</v>
      </c>
      <c r="N61" s="10" t="s">
        <v>245</v>
      </c>
    </row>
    <row r="62" customFormat="false" ht="34.5" hidden="false" customHeight="true" outlineLevel="0" collapsed="false">
      <c r="A62" s="8" t="s">
        <v>257</v>
      </c>
      <c r="B62" s="8" t="s">
        <v>241</v>
      </c>
      <c r="C62" s="8" t="s">
        <v>258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259</v>
      </c>
      <c r="L62" s="8" t="s">
        <v>244</v>
      </c>
      <c r="M62" s="10" t="s">
        <v>46</v>
      </c>
      <c r="N62" s="10" t="s">
        <v>245</v>
      </c>
    </row>
    <row r="63" customFormat="false" ht="34.5" hidden="false" customHeight="true" outlineLevel="0" collapsed="false">
      <c r="A63" s="8" t="s">
        <v>260</v>
      </c>
      <c r="B63" s="8" t="s">
        <v>241</v>
      </c>
      <c r="C63" s="8" t="s">
        <v>261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180</v>
      </c>
      <c r="J63" s="8" t="s">
        <v>97</v>
      </c>
      <c r="K63" s="8" t="s">
        <v>262</v>
      </c>
      <c r="L63" s="8" t="s">
        <v>244</v>
      </c>
      <c r="M63" s="10" t="s">
        <v>46</v>
      </c>
      <c r="N63" s="10" t="s">
        <v>245</v>
      </c>
    </row>
    <row r="64" customFormat="false" ht="34.5" hidden="false" customHeight="true" outlineLevel="0" collapsed="false">
      <c r="A64" s="8" t="s">
        <v>263</v>
      </c>
      <c r="B64" s="8" t="s">
        <v>241</v>
      </c>
      <c r="C64" s="8" t="s">
        <v>264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180</v>
      </c>
      <c r="J64" s="8" t="s">
        <v>97</v>
      </c>
      <c r="K64" s="8" t="s">
        <v>262</v>
      </c>
      <c r="L64" s="8" t="s">
        <v>244</v>
      </c>
      <c r="M64" s="10" t="s">
        <v>46</v>
      </c>
      <c r="N64" s="10" t="s">
        <v>245</v>
      </c>
    </row>
    <row r="65" customFormat="false" ht="34.5" hidden="false" customHeight="true" outlineLevel="0" collapsed="false">
      <c r="A65" s="8" t="s">
        <v>265</v>
      </c>
      <c r="B65" s="8" t="s">
        <v>241</v>
      </c>
      <c r="C65" s="8" t="s">
        <v>266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180</v>
      </c>
      <c r="J65" s="8" t="s">
        <v>97</v>
      </c>
      <c r="K65" s="8" t="s">
        <v>267</v>
      </c>
      <c r="L65" s="8" t="s">
        <v>244</v>
      </c>
      <c r="M65" s="10" t="s">
        <v>46</v>
      </c>
      <c r="N65" s="10" t="s">
        <v>245</v>
      </c>
    </row>
    <row r="66" customFormat="false" ht="34.5" hidden="false" customHeight="true" outlineLevel="0" collapsed="false">
      <c r="A66" s="8" t="s">
        <v>268</v>
      </c>
      <c r="B66" s="8" t="s">
        <v>241</v>
      </c>
      <c r="C66" s="8" t="s">
        <v>269</v>
      </c>
      <c r="D66" s="8"/>
      <c r="E66" s="9" t="s">
        <v>270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271</v>
      </c>
      <c r="L66" s="8" t="s">
        <v>244</v>
      </c>
      <c r="M66" s="10" t="s">
        <v>46</v>
      </c>
      <c r="N66" s="10" t="s">
        <v>245</v>
      </c>
    </row>
    <row r="67" customFormat="false" ht="34.5" hidden="false" customHeight="true" outlineLevel="0" collapsed="false">
      <c r="A67" s="8" t="s">
        <v>272</v>
      </c>
      <c r="B67" s="8" t="s">
        <v>241</v>
      </c>
      <c r="C67" s="8" t="s">
        <v>273</v>
      </c>
      <c r="D67" s="8"/>
      <c r="E67" s="9" t="s">
        <v>274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275</v>
      </c>
      <c r="L67" s="8" t="s">
        <v>244</v>
      </c>
      <c r="M67" s="10" t="s">
        <v>46</v>
      </c>
      <c r="N67" s="10" t="s">
        <v>245</v>
      </c>
    </row>
    <row r="68" customFormat="false" ht="34.5" hidden="false" customHeight="true" outlineLevel="0" collapsed="false">
      <c r="A68" s="8" t="s">
        <v>276</v>
      </c>
      <c r="B68" s="8" t="s">
        <v>241</v>
      </c>
      <c r="C68" s="8" t="s">
        <v>277</v>
      </c>
      <c r="D68" s="8"/>
      <c r="E68" s="9" t="s">
        <v>278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279</v>
      </c>
      <c r="L68" s="8" t="s">
        <v>244</v>
      </c>
      <c r="M68" s="10" t="s">
        <v>46</v>
      </c>
      <c r="N68" s="10" t="s">
        <v>245</v>
      </c>
    </row>
    <row r="69" customFormat="false" ht="45.75" hidden="false" customHeight="true" outlineLevel="0" collapsed="false">
      <c r="A69" s="8" t="s">
        <v>280</v>
      </c>
      <c r="B69" s="8" t="s">
        <v>241</v>
      </c>
      <c r="C69" s="8" t="s">
        <v>281</v>
      </c>
      <c r="D69" s="8"/>
      <c r="E69" s="9" t="s">
        <v>282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283</v>
      </c>
      <c r="L69" s="8" t="s">
        <v>244</v>
      </c>
      <c r="M69" s="10" t="s">
        <v>46</v>
      </c>
      <c r="N69" s="10" t="s">
        <v>245</v>
      </c>
    </row>
    <row r="70" customFormat="false" ht="34.5" hidden="false" customHeight="true" outlineLevel="0" collapsed="false">
      <c r="A70" s="8" t="s">
        <v>284</v>
      </c>
      <c r="B70" s="8" t="s">
        <v>285</v>
      </c>
      <c r="C70" s="8" t="s">
        <v>286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287</v>
      </c>
      <c r="L70" s="8" t="s">
        <v>288</v>
      </c>
      <c r="M70" s="10" t="s">
        <v>46</v>
      </c>
      <c r="N70" s="10" t="s">
        <v>289</v>
      </c>
    </row>
    <row r="71" customFormat="false" ht="34.5" hidden="false" customHeight="true" outlineLevel="0" collapsed="false">
      <c r="A71" s="8" t="s">
        <v>290</v>
      </c>
      <c r="B71" s="8" t="s">
        <v>285</v>
      </c>
      <c r="C71" s="8" t="s">
        <v>291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292</v>
      </c>
      <c r="L71" s="8" t="s">
        <v>288</v>
      </c>
      <c r="M71" s="10" t="s">
        <v>46</v>
      </c>
      <c r="N71" s="10" t="s">
        <v>289</v>
      </c>
    </row>
    <row r="72" customFormat="false" ht="34.5" hidden="false" customHeight="true" outlineLevel="0" collapsed="false">
      <c r="A72" s="8" t="s">
        <v>293</v>
      </c>
      <c r="B72" s="8" t="s">
        <v>285</v>
      </c>
      <c r="C72" s="8" t="s">
        <v>294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295</v>
      </c>
      <c r="L72" s="8" t="s">
        <v>288</v>
      </c>
      <c r="M72" s="10" t="s">
        <v>46</v>
      </c>
      <c r="N72" s="10" t="s">
        <v>289</v>
      </c>
    </row>
    <row r="73" customFormat="false" ht="34.5" hidden="false" customHeight="true" outlineLevel="0" collapsed="false">
      <c r="A73" s="8" t="s">
        <v>296</v>
      </c>
      <c r="B73" s="8" t="s">
        <v>285</v>
      </c>
      <c r="C73" s="8" t="s">
        <v>297</v>
      </c>
      <c r="D73" s="8"/>
      <c r="E73" s="9" t="s">
        <v>298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299</v>
      </c>
      <c r="L73" s="8" t="s">
        <v>288</v>
      </c>
      <c r="M73" s="10" t="s">
        <v>46</v>
      </c>
      <c r="N73" s="10" t="s">
        <v>289</v>
      </c>
    </row>
    <row r="74" customFormat="false" ht="34.5" hidden="false" customHeight="true" outlineLevel="0" collapsed="false">
      <c r="A74" s="8" t="s">
        <v>300</v>
      </c>
      <c r="B74" s="8" t="s">
        <v>285</v>
      </c>
      <c r="C74" s="8" t="s">
        <v>301</v>
      </c>
      <c r="D74" s="8"/>
      <c r="E74" s="9" t="s">
        <v>302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303</v>
      </c>
      <c r="L74" s="8" t="s">
        <v>288</v>
      </c>
      <c r="M74" s="10" t="s">
        <v>46</v>
      </c>
      <c r="N74" s="10" t="s">
        <v>289</v>
      </c>
    </row>
    <row r="75" customFormat="false" ht="34.5" hidden="false" customHeight="true" outlineLevel="0" collapsed="false">
      <c r="A75" s="8" t="s">
        <v>304</v>
      </c>
      <c r="B75" s="8" t="s">
        <v>285</v>
      </c>
      <c r="C75" s="8" t="s">
        <v>305</v>
      </c>
      <c r="D75" s="8"/>
      <c r="E75" s="9" t="s">
        <v>306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307</v>
      </c>
      <c r="L75" s="8" t="s">
        <v>288</v>
      </c>
      <c r="M75" s="10" t="s">
        <v>46</v>
      </c>
      <c r="N75" s="10" t="s">
        <v>289</v>
      </c>
    </row>
    <row r="76" customFormat="false" ht="79.5" hidden="false" customHeight="true" outlineLevel="0" collapsed="false">
      <c r="A76" s="8" t="s">
        <v>308</v>
      </c>
      <c r="B76" s="8" t="s">
        <v>285</v>
      </c>
      <c r="C76" s="8" t="s">
        <v>309</v>
      </c>
      <c r="D76" s="8"/>
      <c r="E76" s="9" t="s">
        <v>310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311</v>
      </c>
      <c r="L76" s="8" t="s">
        <v>288</v>
      </c>
      <c r="M76" s="10" t="s">
        <v>46</v>
      </c>
      <c r="N76" s="10" t="s">
        <v>289</v>
      </c>
    </row>
    <row r="77" customFormat="false" ht="34.5" hidden="false" customHeight="true" outlineLevel="0" collapsed="false">
      <c r="A77" s="8" t="s">
        <v>312</v>
      </c>
      <c r="B77" s="8" t="s">
        <v>313</v>
      </c>
      <c r="C77" s="8" t="s">
        <v>314</v>
      </c>
      <c r="D77" s="13" t="n">
        <v>0.1</v>
      </c>
      <c r="E77" s="13" t="n">
        <v>0.2</v>
      </c>
      <c r="F77" s="13" t="n">
        <v>0.3</v>
      </c>
      <c r="G77" s="8" t="s">
        <v>95</v>
      </c>
      <c r="H77" s="8" t="s">
        <v>42</v>
      </c>
      <c r="I77" s="8"/>
      <c r="J77" s="8" t="s">
        <v>43</v>
      </c>
      <c r="K77" s="8" t="s">
        <v>315</v>
      </c>
      <c r="L77" s="8" t="s">
        <v>316</v>
      </c>
      <c r="M77" s="10" t="s">
        <v>46</v>
      </c>
      <c r="N77" s="10" t="s">
        <v>317</v>
      </c>
    </row>
    <row r="78" customFormat="false" ht="34.5" hidden="false" customHeight="true" outlineLevel="0" collapsed="false">
      <c r="A78" s="8" t="s">
        <v>318</v>
      </c>
      <c r="B78" s="8" t="s">
        <v>313</v>
      </c>
      <c r="C78" s="8" t="s">
        <v>319</v>
      </c>
      <c r="D78" s="13" t="n">
        <v>0.6</v>
      </c>
      <c r="E78" s="13" t="n">
        <v>0.7</v>
      </c>
      <c r="F78" s="13" t="n">
        <v>0.8</v>
      </c>
      <c r="G78" s="8" t="s">
        <v>95</v>
      </c>
      <c r="H78" s="8" t="s">
        <v>42</v>
      </c>
      <c r="I78" s="8"/>
      <c r="J78" s="8" t="s">
        <v>43</v>
      </c>
      <c r="K78" s="8" t="s">
        <v>320</v>
      </c>
      <c r="L78" s="8" t="s">
        <v>316</v>
      </c>
      <c r="M78" s="10" t="s">
        <v>46</v>
      </c>
      <c r="N78" s="10" t="s">
        <v>317</v>
      </c>
    </row>
    <row r="79" customFormat="false" ht="34.5" hidden="false" customHeight="true" outlineLevel="0" collapsed="false">
      <c r="A79" s="8" t="s">
        <v>321</v>
      </c>
      <c r="B79" s="8" t="s">
        <v>225</v>
      </c>
      <c r="C79" s="8" t="s">
        <v>322</v>
      </c>
      <c r="D79" s="13" t="n">
        <v>0.2</v>
      </c>
      <c r="E79" s="13" t="n">
        <v>0.3</v>
      </c>
      <c r="F79" s="13" t="n">
        <v>0.5</v>
      </c>
      <c r="G79" s="8" t="s">
        <v>95</v>
      </c>
      <c r="H79" s="8" t="s">
        <v>42</v>
      </c>
      <c r="I79" s="8"/>
      <c r="J79" s="8" t="s">
        <v>43</v>
      </c>
      <c r="K79" s="8" t="s">
        <v>323</v>
      </c>
      <c r="L79" s="8" t="s">
        <v>316</v>
      </c>
      <c r="M79" s="10" t="s">
        <v>46</v>
      </c>
      <c r="N79" s="10" t="s">
        <v>317</v>
      </c>
    </row>
    <row r="80" customFormat="false" ht="34.5" hidden="false" customHeight="true" outlineLevel="0" collapsed="false">
      <c r="A80" s="8" t="s">
        <v>324</v>
      </c>
      <c r="B80" s="8" t="s">
        <v>313</v>
      </c>
      <c r="C80" s="8" t="s">
        <v>325</v>
      </c>
      <c r="D80" s="13" t="n">
        <v>-0.05</v>
      </c>
      <c r="E80" s="13" t="n">
        <v>0</v>
      </c>
      <c r="F80" s="13" t="n">
        <v>0.05</v>
      </c>
      <c r="G80" s="8" t="s">
        <v>95</v>
      </c>
      <c r="H80" s="8" t="s">
        <v>42</v>
      </c>
      <c r="I80" s="8"/>
      <c r="J80" s="8" t="s">
        <v>43</v>
      </c>
      <c r="K80" s="8" t="s">
        <v>326</v>
      </c>
      <c r="L80" s="8" t="s">
        <v>316</v>
      </c>
      <c r="M80" s="10" t="s">
        <v>46</v>
      </c>
      <c r="N80" s="10" t="s">
        <v>317</v>
      </c>
    </row>
    <row r="81" customFormat="false" ht="34.5" hidden="false" customHeight="true" outlineLevel="0" collapsed="false">
      <c r="A81" s="8" t="s">
        <v>327</v>
      </c>
      <c r="B81" s="8" t="s">
        <v>313</v>
      </c>
      <c r="C81" s="8" t="s">
        <v>328</v>
      </c>
      <c r="D81" s="8"/>
      <c r="E81" s="13" t="n">
        <v>0.35</v>
      </c>
      <c r="F81" s="8"/>
      <c r="G81" s="8" t="s">
        <v>95</v>
      </c>
      <c r="H81" s="8" t="s">
        <v>42</v>
      </c>
      <c r="I81" s="8" t="s">
        <v>329</v>
      </c>
      <c r="J81" s="8" t="s">
        <v>114</v>
      </c>
      <c r="K81" s="8" t="s">
        <v>330</v>
      </c>
      <c r="L81" s="8" t="s">
        <v>316</v>
      </c>
      <c r="M81" s="10" t="s">
        <v>46</v>
      </c>
      <c r="N81" s="10" t="s">
        <v>317</v>
      </c>
    </row>
    <row r="82" customFormat="false" ht="34.5" hidden="false" customHeight="true" outlineLevel="0" collapsed="false">
      <c r="A82" s="8" t="s">
        <v>331</v>
      </c>
      <c r="B82" s="8" t="s">
        <v>313</v>
      </c>
      <c r="C82" s="8" t="s">
        <v>332</v>
      </c>
      <c r="D82" s="8"/>
      <c r="E82" s="13" t="n">
        <v>0.28</v>
      </c>
      <c r="F82" s="8"/>
      <c r="G82" s="8" t="s">
        <v>95</v>
      </c>
      <c r="H82" s="8" t="s">
        <v>42</v>
      </c>
      <c r="I82" s="8" t="s">
        <v>329</v>
      </c>
      <c r="J82" s="8" t="s">
        <v>114</v>
      </c>
      <c r="K82" s="8" t="s">
        <v>333</v>
      </c>
      <c r="L82" s="8" t="s">
        <v>316</v>
      </c>
      <c r="M82" s="10" t="s">
        <v>46</v>
      </c>
      <c r="N82" s="10" t="s">
        <v>317</v>
      </c>
    </row>
    <row r="83" customFormat="false" ht="34.5" hidden="false" customHeight="true" outlineLevel="0" collapsed="false">
      <c r="A83" s="8" t="s">
        <v>334</v>
      </c>
      <c r="B83" s="8" t="s">
        <v>313</v>
      </c>
      <c r="C83" s="8" t="s">
        <v>335</v>
      </c>
      <c r="D83" s="8"/>
      <c r="E83" s="13" t="n">
        <v>0.18</v>
      </c>
      <c r="F83" s="8"/>
      <c r="G83" s="8" t="s">
        <v>95</v>
      </c>
      <c r="H83" s="8" t="s">
        <v>42</v>
      </c>
      <c r="I83" s="8" t="s">
        <v>132</v>
      </c>
      <c r="J83" s="8" t="s">
        <v>114</v>
      </c>
      <c r="K83" s="8" t="s">
        <v>336</v>
      </c>
      <c r="L83" s="8" t="s">
        <v>316</v>
      </c>
      <c r="M83" s="10" t="s">
        <v>46</v>
      </c>
      <c r="N83" s="10" t="s">
        <v>317</v>
      </c>
    </row>
    <row r="84" customFormat="false" ht="34.5" hidden="false" customHeight="true" outlineLevel="0" collapsed="false">
      <c r="A84" s="8" t="s">
        <v>337</v>
      </c>
      <c r="B84" s="8" t="s">
        <v>313</v>
      </c>
      <c r="C84" s="8" t="s">
        <v>338</v>
      </c>
      <c r="D84" s="8"/>
      <c r="E84" s="13" t="n">
        <v>0.12</v>
      </c>
      <c r="F84" s="8"/>
      <c r="G84" s="8" t="s">
        <v>95</v>
      </c>
      <c r="H84" s="8" t="s">
        <v>42</v>
      </c>
      <c r="I84" s="8"/>
      <c r="J84" s="8" t="s">
        <v>43</v>
      </c>
      <c r="K84" s="8" t="s">
        <v>333</v>
      </c>
      <c r="L84" s="8" t="s">
        <v>316</v>
      </c>
      <c r="M84" s="10" t="s">
        <v>46</v>
      </c>
      <c r="N84" s="10" t="s">
        <v>317</v>
      </c>
    </row>
    <row r="85" customFormat="false" ht="34.5" hidden="false" customHeight="true" outlineLevel="0" collapsed="false">
      <c r="A85" s="8" t="s">
        <v>339</v>
      </c>
      <c r="B85" s="8" t="s">
        <v>313</v>
      </c>
      <c r="C85" s="8" t="s">
        <v>340</v>
      </c>
      <c r="D85" s="8"/>
      <c r="E85" s="13" t="n">
        <v>0.07</v>
      </c>
      <c r="F85" s="8"/>
      <c r="G85" s="8" t="s">
        <v>95</v>
      </c>
      <c r="H85" s="8" t="s">
        <v>42</v>
      </c>
      <c r="I85" s="8"/>
      <c r="J85" s="8" t="s">
        <v>43</v>
      </c>
      <c r="K85" s="8" t="s">
        <v>333</v>
      </c>
      <c r="L85" s="8" t="s">
        <v>316</v>
      </c>
      <c r="M85" s="10" t="s">
        <v>46</v>
      </c>
      <c r="N85" s="10" t="s">
        <v>317</v>
      </c>
    </row>
    <row r="86" customFormat="false" ht="34.5" hidden="false" customHeight="true" outlineLevel="0" collapsed="false">
      <c r="A86" s="8" t="s">
        <v>341</v>
      </c>
      <c r="B86" s="8" t="s">
        <v>313</v>
      </c>
      <c r="C86" s="8" t="s">
        <v>342</v>
      </c>
      <c r="D86" s="12" t="n">
        <v>1500</v>
      </c>
      <c r="E86" s="12" t="n">
        <v>2500</v>
      </c>
      <c r="F86" s="12" t="n">
        <v>4000</v>
      </c>
      <c r="G86" s="8" t="s">
        <v>142</v>
      </c>
      <c r="H86" s="8" t="s">
        <v>42</v>
      </c>
      <c r="I86" s="8"/>
      <c r="J86" s="8" t="s">
        <v>43</v>
      </c>
      <c r="K86" s="8" t="s">
        <v>343</v>
      </c>
      <c r="L86" s="8" t="s">
        <v>316</v>
      </c>
      <c r="M86" s="10" t="s">
        <v>46</v>
      </c>
      <c r="N86" s="10" t="s">
        <v>317</v>
      </c>
    </row>
    <row r="87" customFormat="false" ht="34.5" hidden="false" customHeight="true" outlineLevel="0" collapsed="false">
      <c r="A87" s="8" t="s">
        <v>344</v>
      </c>
      <c r="B87" s="8" t="s">
        <v>313</v>
      </c>
      <c r="C87" s="8" t="s">
        <v>345</v>
      </c>
      <c r="D87" s="12" t="n">
        <v>2500</v>
      </c>
      <c r="E87" s="12" t="n">
        <v>3500</v>
      </c>
      <c r="F87" s="12" t="n">
        <v>6000</v>
      </c>
      <c r="G87" s="8" t="s">
        <v>142</v>
      </c>
      <c r="H87" s="8" t="s">
        <v>42</v>
      </c>
      <c r="I87" s="8"/>
      <c r="J87" s="8" t="s">
        <v>43</v>
      </c>
      <c r="K87" s="8" t="s">
        <v>346</v>
      </c>
      <c r="L87" s="8" t="s">
        <v>316</v>
      </c>
      <c r="M87" s="10" t="s">
        <v>46</v>
      </c>
      <c r="N87" s="10" t="s">
        <v>317</v>
      </c>
    </row>
    <row r="88" customFormat="false" ht="34.5" hidden="false" customHeight="true" outlineLevel="0" collapsed="false">
      <c r="A88" s="8" t="s">
        <v>347</v>
      </c>
      <c r="B88" s="8" t="s">
        <v>313</v>
      </c>
      <c r="C88" s="8" t="s">
        <v>348</v>
      </c>
      <c r="D88" s="8"/>
      <c r="E88" s="9" t="s">
        <v>349</v>
      </c>
      <c r="F88" s="8"/>
      <c r="G88" s="8" t="s">
        <v>41</v>
      </c>
      <c r="H88" s="8" t="s">
        <v>42</v>
      </c>
      <c r="I88" s="8" t="s">
        <v>132</v>
      </c>
      <c r="J88" s="8" t="s">
        <v>114</v>
      </c>
      <c r="K88" s="8" t="s">
        <v>350</v>
      </c>
      <c r="L88" s="8" t="s">
        <v>316</v>
      </c>
      <c r="M88" s="10" t="s">
        <v>46</v>
      </c>
      <c r="N88" s="10" t="s">
        <v>317</v>
      </c>
    </row>
    <row r="89" customFormat="false" ht="34.5" hidden="false" customHeight="true" outlineLevel="0" collapsed="false">
      <c r="A89" s="8" t="s">
        <v>351</v>
      </c>
      <c r="B89" s="8" t="s">
        <v>313</v>
      </c>
      <c r="C89" s="8" t="s">
        <v>352</v>
      </c>
      <c r="D89" s="8"/>
      <c r="E89" s="9" t="s">
        <v>353</v>
      </c>
      <c r="F89" s="8"/>
      <c r="G89" s="8" t="s">
        <v>41</v>
      </c>
      <c r="H89" s="8" t="s">
        <v>42</v>
      </c>
      <c r="I89" s="8"/>
      <c r="J89" s="8" t="s">
        <v>43</v>
      </c>
      <c r="K89" s="8" t="s">
        <v>354</v>
      </c>
      <c r="L89" s="8" t="s">
        <v>316</v>
      </c>
      <c r="M89" s="10" t="s">
        <v>46</v>
      </c>
      <c r="N89" s="10" t="s">
        <v>317</v>
      </c>
    </row>
    <row r="90" customFormat="false" ht="68.25" hidden="false" customHeight="true" outlineLevel="0" collapsed="false">
      <c r="A90" s="8" t="s">
        <v>355</v>
      </c>
      <c r="B90" s="8" t="s">
        <v>313</v>
      </c>
      <c r="C90" s="8" t="s">
        <v>356</v>
      </c>
      <c r="D90" s="8"/>
      <c r="E90" s="9" t="s">
        <v>357</v>
      </c>
      <c r="F90" s="8"/>
      <c r="G90" s="8" t="s">
        <v>41</v>
      </c>
      <c r="H90" s="8" t="s">
        <v>42</v>
      </c>
      <c r="I90" s="8"/>
      <c r="J90" s="8" t="s">
        <v>43</v>
      </c>
      <c r="K90" s="8" t="s">
        <v>358</v>
      </c>
      <c r="L90" s="8" t="s">
        <v>316</v>
      </c>
      <c r="M90" s="10" t="s">
        <v>46</v>
      </c>
      <c r="N90" s="10" t="s">
        <v>317</v>
      </c>
    </row>
    <row r="91" customFormat="false" ht="34.5" hidden="false" customHeight="true" outlineLevel="0" collapsed="false">
      <c r="A91" s="8" t="s">
        <v>359</v>
      </c>
      <c r="B91" s="8" t="s">
        <v>313</v>
      </c>
      <c r="C91" s="8" t="s">
        <v>360</v>
      </c>
      <c r="D91" s="8"/>
      <c r="E91" s="9" t="s">
        <v>361</v>
      </c>
      <c r="F91" s="8"/>
      <c r="G91" s="8" t="s">
        <v>41</v>
      </c>
      <c r="H91" s="8" t="s">
        <v>42</v>
      </c>
      <c r="I91" s="8"/>
      <c r="J91" s="8" t="s">
        <v>43</v>
      </c>
      <c r="K91" s="8" t="s">
        <v>362</v>
      </c>
      <c r="L91" s="8" t="s">
        <v>316</v>
      </c>
      <c r="M91" s="10" t="s">
        <v>46</v>
      </c>
      <c r="N91" s="10" t="s">
        <v>317</v>
      </c>
    </row>
    <row r="92" customFormat="false" ht="57" hidden="false" customHeight="true" outlineLevel="0" collapsed="false">
      <c r="A92" s="8" t="s">
        <v>363</v>
      </c>
      <c r="B92" s="8" t="s">
        <v>313</v>
      </c>
      <c r="C92" s="8" t="s">
        <v>364</v>
      </c>
      <c r="D92" s="8"/>
      <c r="E92" s="9" t="s">
        <v>365</v>
      </c>
      <c r="F92" s="8"/>
      <c r="G92" s="8" t="s">
        <v>41</v>
      </c>
      <c r="H92" s="8" t="s">
        <v>42</v>
      </c>
      <c r="I92" s="8"/>
      <c r="J92" s="8" t="s">
        <v>43</v>
      </c>
      <c r="K92" s="8" t="s">
        <v>366</v>
      </c>
      <c r="L92" s="8" t="s">
        <v>316</v>
      </c>
      <c r="M92" s="10" t="s">
        <v>46</v>
      </c>
      <c r="N92" s="10" t="s">
        <v>317</v>
      </c>
    </row>
    <row r="93" customFormat="false" ht="68.25" hidden="false" customHeight="true" outlineLevel="0" collapsed="false">
      <c r="A93" s="8" t="s">
        <v>367</v>
      </c>
      <c r="B93" s="8" t="s">
        <v>313</v>
      </c>
      <c r="C93" s="8" t="s">
        <v>368</v>
      </c>
      <c r="D93" s="8"/>
      <c r="E93" s="9" t="s">
        <v>369</v>
      </c>
      <c r="F93" s="8"/>
      <c r="G93" s="8" t="s">
        <v>41</v>
      </c>
      <c r="H93" s="8" t="s">
        <v>42</v>
      </c>
      <c r="I93" s="8" t="s">
        <v>109</v>
      </c>
      <c r="J93" s="8" t="s">
        <v>114</v>
      </c>
      <c r="K93" s="8" t="s">
        <v>370</v>
      </c>
      <c r="L93" s="8" t="s">
        <v>316</v>
      </c>
      <c r="M93" s="10" t="s">
        <v>46</v>
      </c>
      <c r="N93" s="10" t="s">
        <v>317</v>
      </c>
    </row>
    <row r="94" customFormat="false" ht="34.5" hidden="false" customHeight="true" outlineLevel="0" collapsed="false">
      <c r="A94" s="8" t="s">
        <v>371</v>
      </c>
      <c r="B94" s="8" t="s">
        <v>372</v>
      </c>
      <c r="C94" s="8" t="s">
        <v>373</v>
      </c>
      <c r="D94" s="12" t="n">
        <v>450</v>
      </c>
      <c r="E94" s="12" t="n">
        <v>600</v>
      </c>
      <c r="F94" s="12" t="n">
        <v>800</v>
      </c>
      <c r="G94" s="8" t="s">
        <v>66</v>
      </c>
      <c r="H94" s="8" t="s">
        <v>42</v>
      </c>
      <c r="I94" s="8"/>
      <c r="J94" s="8" t="s">
        <v>43</v>
      </c>
      <c r="K94" s="8" t="s">
        <v>374</v>
      </c>
      <c r="L94" s="8" t="s">
        <v>375</v>
      </c>
      <c r="M94" s="10" t="s">
        <v>46</v>
      </c>
      <c r="N94" s="10" t="s">
        <v>376</v>
      </c>
    </row>
    <row r="95" customFormat="false" ht="34.5" hidden="false" customHeight="true" outlineLevel="0" collapsed="false">
      <c r="A95" s="8" t="s">
        <v>377</v>
      </c>
      <c r="B95" s="8" t="s">
        <v>372</v>
      </c>
      <c r="C95" s="8" t="s">
        <v>378</v>
      </c>
      <c r="D95" s="13" t="n">
        <v>0.3</v>
      </c>
      <c r="E95" s="13" t="n">
        <v>0.4</v>
      </c>
      <c r="F95" s="13" t="n">
        <v>0.5</v>
      </c>
      <c r="G95" s="8" t="s">
        <v>95</v>
      </c>
      <c r="H95" s="8" t="s">
        <v>42</v>
      </c>
      <c r="I95" s="8"/>
      <c r="J95" s="8" t="s">
        <v>43</v>
      </c>
      <c r="K95" s="8" t="s">
        <v>379</v>
      </c>
      <c r="L95" s="8" t="s">
        <v>375</v>
      </c>
      <c r="M95" s="10" t="s">
        <v>46</v>
      </c>
      <c r="N95" s="10" t="s">
        <v>376</v>
      </c>
    </row>
    <row r="96" customFormat="false" ht="34.5" hidden="false" customHeight="true" outlineLevel="0" collapsed="false">
      <c r="A96" s="8" t="s">
        <v>380</v>
      </c>
      <c r="B96" s="8" t="s">
        <v>372</v>
      </c>
      <c r="C96" s="8" t="s">
        <v>381</v>
      </c>
      <c r="D96" s="12" t="n">
        <v>20</v>
      </c>
      <c r="E96" s="12" t="n">
        <v>40</v>
      </c>
      <c r="F96" s="12" t="n">
        <v>70</v>
      </c>
      <c r="G96" s="8" t="s">
        <v>66</v>
      </c>
      <c r="H96" s="8" t="s">
        <v>42</v>
      </c>
      <c r="I96" s="8"/>
      <c r="J96" s="8" t="s">
        <v>43</v>
      </c>
      <c r="K96" s="8" t="s">
        <v>382</v>
      </c>
      <c r="L96" s="8" t="s">
        <v>375</v>
      </c>
      <c r="M96" s="10" t="s">
        <v>46</v>
      </c>
      <c r="N96" s="10" t="s">
        <v>376</v>
      </c>
    </row>
    <row r="97" customFormat="false" ht="34.5" hidden="false" customHeight="true" outlineLevel="0" collapsed="false">
      <c r="A97" s="8" t="s">
        <v>383</v>
      </c>
      <c r="B97" s="8" t="s">
        <v>372</v>
      </c>
      <c r="C97" s="8" t="s">
        <v>384</v>
      </c>
      <c r="D97" s="13" t="n">
        <v>0</v>
      </c>
      <c r="E97" s="13" t="n">
        <v>0.05</v>
      </c>
      <c r="F97" s="13" t="n">
        <v>0.15</v>
      </c>
      <c r="G97" s="8" t="s">
        <v>95</v>
      </c>
      <c r="H97" s="8" t="s">
        <v>42</v>
      </c>
      <c r="I97" s="8"/>
      <c r="J97" s="8" t="s">
        <v>43</v>
      </c>
      <c r="K97" s="8" t="s">
        <v>385</v>
      </c>
      <c r="L97" s="8" t="s">
        <v>375</v>
      </c>
      <c r="M97" s="10" t="s">
        <v>46</v>
      </c>
      <c r="N97" s="10" t="s">
        <v>376</v>
      </c>
    </row>
    <row r="98" customFormat="false" ht="34.5" hidden="false" customHeight="true" outlineLevel="0" collapsed="false">
      <c r="A98" s="8" t="s">
        <v>386</v>
      </c>
      <c r="B98" s="8" t="s">
        <v>372</v>
      </c>
      <c r="C98" s="8" t="s">
        <v>387</v>
      </c>
      <c r="D98" s="16" t="n">
        <v>1.05</v>
      </c>
      <c r="E98" s="16" t="n">
        <v>1.1</v>
      </c>
      <c r="F98" s="16" t="n">
        <v>1.2</v>
      </c>
      <c r="G98" s="8" t="s">
        <v>54</v>
      </c>
      <c r="H98" s="8" t="s">
        <v>42</v>
      </c>
      <c r="I98" s="8"/>
      <c r="J98" s="8" t="s">
        <v>43</v>
      </c>
      <c r="K98" s="8" t="s">
        <v>388</v>
      </c>
      <c r="L98" s="8" t="s">
        <v>375</v>
      </c>
      <c r="M98" s="10" t="s">
        <v>46</v>
      </c>
      <c r="N98" s="10" t="s">
        <v>376</v>
      </c>
    </row>
    <row r="99" customFormat="false" ht="90.75" hidden="false" customHeight="true" outlineLevel="0" collapsed="false">
      <c r="A99" s="8" t="s">
        <v>389</v>
      </c>
      <c r="B99" s="8" t="s">
        <v>372</v>
      </c>
      <c r="C99" s="8" t="s">
        <v>390</v>
      </c>
      <c r="D99" s="8"/>
      <c r="E99" s="9" t="s">
        <v>391</v>
      </c>
      <c r="F99" s="8"/>
      <c r="G99" s="8" t="s">
        <v>41</v>
      </c>
      <c r="H99" s="8" t="s">
        <v>42</v>
      </c>
      <c r="I99" s="8"/>
      <c r="J99" s="8" t="s">
        <v>43</v>
      </c>
      <c r="K99" s="8" t="s">
        <v>392</v>
      </c>
      <c r="L99" s="8" t="s">
        <v>375</v>
      </c>
      <c r="M99" s="10" t="s">
        <v>46</v>
      </c>
      <c r="N99" s="10" t="s">
        <v>376</v>
      </c>
    </row>
    <row r="100" customFormat="false" ht="68.25" hidden="false" customHeight="true" outlineLevel="0" collapsed="false">
      <c r="A100" s="8" t="s">
        <v>393</v>
      </c>
      <c r="B100" s="8" t="s">
        <v>372</v>
      </c>
      <c r="C100" s="8" t="s">
        <v>394</v>
      </c>
      <c r="D100" s="8"/>
      <c r="E100" s="9" t="s">
        <v>395</v>
      </c>
      <c r="F100" s="8"/>
      <c r="G100" s="8" t="s">
        <v>41</v>
      </c>
      <c r="H100" s="8" t="s">
        <v>42</v>
      </c>
      <c r="I100" s="8"/>
      <c r="J100" s="8" t="s">
        <v>43</v>
      </c>
      <c r="K100" s="8" t="s">
        <v>396</v>
      </c>
      <c r="L100" s="8" t="s">
        <v>375</v>
      </c>
      <c r="M100" s="10" t="s">
        <v>46</v>
      </c>
      <c r="N100" s="10" t="s">
        <v>376</v>
      </c>
    </row>
    <row r="101" customFormat="false" ht="68.25" hidden="false" customHeight="true" outlineLevel="0" collapsed="false">
      <c r="A101" s="8" t="s">
        <v>397</v>
      </c>
      <c r="B101" s="8" t="s">
        <v>372</v>
      </c>
      <c r="C101" s="8" t="s">
        <v>398</v>
      </c>
      <c r="D101" s="8"/>
      <c r="E101" s="9" t="s">
        <v>399</v>
      </c>
      <c r="F101" s="8"/>
      <c r="G101" s="8" t="s">
        <v>41</v>
      </c>
      <c r="H101" s="8" t="s">
        <v>42</v>
      </c>
      <c r="I101" s="8"/>
      <c r="J101" s="8" t="s">
        <v>43</v>
      </c>
      <c r="K101" s="8" t="s">
        <v>400</v>
      </c>
      <c r="L101" s="8" t="s">
        <v>375</v>
      </c>
      <c r="M101" s="10" t="s">
        <v>46</v>
      </c>
      <c r="N101" s="10" t="s">
        <v>376</v>
      </c>
    </row>
    <row r="102" customFormat="false" ht="68.25" hidden="false" customHeight="true" outlineLevel="0" collapsed="false">
      <c r="A102" s="8" t="s">
        <v>401</v>
      </c>
      <c r="B102" s="8" t="s">
        <v>372</v>
      </c>
      <c r="C102" s="8" t="s">
        <v>402</v>
      </c>
      <c r="D102" s="8"/>
      <c r="E102" s="9" t="s">
        <v>403</v>
      </c>
      <c r="F102" s="8"/>
      <c r="G102" s="8" t="s">
        <v>41</v>
      </c>
      <c r="H102" s="8" t="s">
        <v>42</v>
      </c>
      <c r="I102" s="8"/>
      <c r="J102" s="8" t="s">
        <v>43</v>
      </c>
      <c r="K102" s="8" t="s">
        <v>404</v>
      </c>
      <c r="L102" s="8" t="s">
        <v>375</v>
      </c>
      <c r="M102" s="10" t="s">
        <v>46</v>
      </c>
      <c r="N102" s="10" t="s">
        <v>376</v>
      </c>
    </row>
    <row r="103" customFormat="false" ht="34.5" hidden="false" customHeight="true" outlineLevel="0" collapsed="false">
      <c r="A103" s="8" t="s">
        <v>405</v>
      </c>
      <c r="B103" s="8" t="s">
        <v>406</v>
      </c>
      <c r="C103" s="8" t="s">
        <v>407</v>
      </c>
      <c r="D103" s="13" t="n">
        <v>0.02</v>
      </c>
      <c r="E103" s="13" t="n">
        <v>0.05</v>
      </c>
      <c r="F103" s="13" t="n">
        <v>0.08</v>
      </c>
      <c r="G103" s="8" t="s">
        <v>95</v>
      </c>
      <c r="H103" s="8" t="s">
        <v>42</v>
      </c>
      <c r="I103" s="8"/>
      <c r="J103" s="8" t="s">
        <v>43</v>
      </c>
      <c r="K103" s="8" t="s">
        <v>408</v>
      </c>
      <c r="L103" s="8" t="s">
        <v>409</v>
      </c>
      <c r="M103" s="10" t="s">
        <v>46</v>
      </c>
      <c r="N103" s="10" t="s">
        <v>410</v>
      </c>
    </row>
    <row r="104" customFormat="false" ht="34.5" hidden="false" customHeight="true" outlineLevel="0" collapsed="false">
      <c r="A104" s="8" t="s">
        <v>411</v>
      </c>
      <c r="B104" s="8" t="s">
        <v>406</v>
      </c>
      <c r="C104" s="8" t="s">
        <v>412</v>
      </c>
      <c r="D104" s="11" t="n">
        <v>1.5</v>
      </c>
      <c r="E104" s="11" t="n">
        <v>2</v>
      </c>
      <c r="F104" s="11" t="n">
        <v>3</v>
      </c>
      <c r="G104" s="8" t="s">
        <v>54</v>
      </c>
      <c r="H104" s="8" t="s">
        <v>42</v>
      </c>
      <c r="I104" s="8"/>
      <c r="J104" s="8" t="s">
        <v>43</v>
      </c>
      <c r="K104" s="8" t="s">
        <v>413</v>
      </c>
      <c r="L104" s="8" t="s">
        <v>409</v>
      </c>
      <c r="M104" s="10" t="s">
        <v>46</v>
      </c>
      <c r="N104" s="10" t="s">
        <v>410</v>
      </c>
    </row>
    <row r="105" customFormat="false" ht="34.5" hidden="false" customHeight="true" outlineLevel="0" collapsed="false">
      <c r="A105" s="8" t="s">
        <v>414</v>
      </c>
      <c r="B105" s="8" t="s">
        <v>406</v>
      </c>
      <c r="C105" s="8" t="s">
        <v>415</v>
      </c>
      <c r="D105" s="11" t="n">
        <v>2</v>
      </c>
      <c r="E105" s="11" t="n">
        <v>2.5</v>
      </c>
      <c r="F105" s="11" t="n">
        <v>4</v>
      </c>
      <c r="G105" s="8" t="s">
        <v>54</v>
      </c>
      <c r="H105" s="8" t="s">
        <v>42</v>
      </c>
      <c r="I105" s="8"/>
      <c r="J105" s="8" t="s">
        <v>43</v>
      </c>
      <c r="K105" s="8" t="s">
        <v>416</v>
      </c>
      <c r="L105" s="8" t="s">
        <v>409</v>
      </c>
      <c r="M105" s="10" t="s">
        <v>46</v>
      </c>
      <c r="N105" s="10" t="s">
        <v>410</v>
      </c>
    </row>
    <row r="106" customFormat="false" ht="34.5" hidden="false" customHeight="true" outlineLevel="0" collapsed="false">
      <c r="A106" s="8" t="s">
        <v>417</v>
      </c>
      <c r="B106" s="8" t="s">
        <v>406</v>
      </c>
      <c r="C106" s="8" t="s">
        <v>418</v>
      </c>
      <c r="D106" s="13" t="n">
        <v>0</v>
      </c>
      <c r="E106" s="13" t="n">
        <v>0.05</v>
      </c>
      <c r="F106" s="13" t="n">
        <v>0.15</v>
      </c>
      <c r="G106" s="8" t="s">
        <v>95</v>
      </c>
      <c r="H106" s="8" t="s">
        <v>42</v>
      </c>
      <c r="I106" s="8"/>
      <c r="J106" s="8" t="s">
        <v>43</v>
      </c>
      <c r="K106" s="8" t="s">
        <v>419</v>
      </c>
      <c r="L106" s="8" t="s">
        <v>409</v>
      </c>
      <c r="M106" s="10" t="s">
        <v>46</v>
      </c>
      <c r="N106" s="10" t="s">
        <v>410</v>
      </c>
    </row>
    <row r="107" customFormat="false" ht="90.75" hidden="false" customHeight="true" outlineLevel="0" collapsed="false">
      <c r="A107" s="8" t="s">
        <v>420</v>
      </c>
      <c r="B107" s="8" t="s">
        <v>406</v>
      </c>
      <c r="C107" s="8" t="s">
        <v>421</v>
      </c>
      <c r="D107" s="8"/>
      <c r="E107" s="9" t="s">
        <v>422</v>
      </c>
      <c r="F107" s="8"/>
      <c r="G107" s="8" t="s">
        <v>41</v>
      </c>
      <c r="H107" s="8" t="s">
        <v>42</v>
      </c>
      <c r="I107" s="8"/>
      <c r="J107" s="8" t="s">
        <v>43</v>
      </c>
      <c r="K107" s="8" t="s">
        <v>423</v>
      </c>
      <c r="L107" s="8" t="s">
        <v>409</v>
      </c>
      <c r="M107" s="10" t="s">
        <v>46</v>
      </c>
      <c r="N107" s="10" t="s">
        <v>410</v>
      </c>
    </row>
    <row r="108" customFormat="false" ht="34.5" hidden="false" customHeight="true" outlineLevel="0" collapsed="false">
      <c r="A108" s="8" t="s">
        <v>424</v>
      </c>
      <c r="B108" s="8" t="s">
        <v>406</v>
      </c>
      <c r="C108" s="8" t="s">
        <v>425</v>
      </c>
      <c r="D108" s="8"/>
      <c r="E108" s="9" t="s">
        <v>426</v>
      </c>
      <c r="F108" s="8"/>
      <c r="G108" s="8" t="s">
        <v>41</v>
      </c>
      <c r="H108" s="8" t="s">
        <v>42</v>
      </c>
      <c r="I108" s="8"/>
      <c r="J108" s="8" t="s">
        <v>43</v>
      </c>
      <c r="K108" s="8" t="s">
        <v>427</v>
      </c>
      <c r="L108" s="8" t="s">
        <v>409</v>
      </c>
      <c r="M108" s="10" t="s">
        <v>46</v>
      </c>
      <c r="N108" s="10" t="s">
        <v>410</v>
      </c>
    </row>
    <row r="109" customFormat="false" ht="45.75" hidden="false" customHeight="true" outlineLevel="0" collapsed="false">
      <c r="A109" s="8" t="s">
        <v>428</v>
      </c>
      <c r="B109" s="8" t="s">
        <v>406</v>
      </c>
      <c r="C109" s="8" t="s">
        <v>429</v>
      </c>
      <c r="D109" s="8"/>
      <c r="E109" s="9" t="s">
        <v>430</v>
      </c>
      <c r="F109" s="8"/>
      <c r="G109" s="8" t="s">
        <v>41</v>
      </c>
      <c r="H109" s="8" t="s">
        <v>42</v>
      </c>
      <c r="I109" s="8" t="s">
        <v>431</v>
      </c>
      <c r="J109" s="8" t="s">
        <v>114</v>
      </c>
      <c r="K109" s="8" t="s">
        <v>432</v>
      </c>
      <c r="L109" s="8" t="s">
        <v>409</v>
      </c>
      <c r="M109" s="10" t="s">
        <v>46</v>
      </c>
      <c r="N109" s="10" t="s">
        <v>410</v>
      </c>
    </row>
    <row r="110" customFormat="false" ht="102" hidden="false" customHeight="true" outlineLevel="0" collapsed="false">
      <c r="A110" s="8" t="s">
        <v>433</v>
      </c>
      <c r="B110" s="8" t="s">
        <v>406</v>
      </c>
      <c r="C110" s="8" t="s">
        <v>434</v>
      </c>
      <c r="D110" s="8"/>
      <c r="E110" s="9" t="s">
        <v>435</v>
      </c>
      <c r="F110" s="8"/>
      <c r="G110" s="8" t="s">
        <v>41</v>
      </c>
      <c r="H110" s="8" t="s">
        <v>42</v>
      </c>
      <c r="I110" s="8" t="s">
        <v>161</v>
      </c>
      <c r="J110" s="8" t="s">
        <v>114</v>
      </c>
      <c r="K110" s="8" t="s">
        <v>436</v>
      </c>
      <c r="L110" s="8" t="s">
        <v>409</v>
      </c>
      <c r="M110" s="10" t="s">
        <v>46</v>
      </c>
      <c r="N110" s="10" t="s">
        <v>410</v>
      </c>
    </row>
    <row r="111" customFormat="false" ht="57" hidden="false" customHeight="true" outlineLevel="0" collapsed="false">
      <c r="A111" s="8" t="s">
        <v>437</v>
      </c>
      <c r="B111" s="8" t="s">
        <v>406</v>
      </c>
      <c r="C111" s="8" t="s">
        <v>438</v>
      </c>
      <c r="D111" s="8"/>
      <c r="E111" s="9" t="s">
        <v>439</v>
      </c>
      <c r="F111" s="8"/>
      <c r="G111" s="8" t="s">
        <v>41</v>
      </c>
      <c r="H111" s="8" t="s">
        <v>42</v>
      </c>
      <c r="I111" s="8"/>
      <c r="J111" s="8" t="s">
        <v>43</v>
      </c>
      <c r="K111" s="8" t="s">
        <v>440</v>
      </c>
      <c r="L111" s="8" t="s">
        <v>409</v>
      </c>
      <c r="M111" s="10" t="s">
        <v>46</v>
      </c>
      <c r="N111" s="10" t="s">
        <v>410</v>
      </c>
    </row>
    <row r="112" customFormat="false" ht="34.5" hidden="false" customHeight="true" outlineLevel="0" collapsed="false">
      <c r="A112" s="8" t="s">
        <v>441</v>
      </c>
      <c r="B112" s="8" t="s">
        <v>442</v>
      </c>
      <c r="C112" s="8" t="s">
        <v>443</v>
      </c>
      <c r="D112" s="13" t="n">
        <v>0.15</v>
      </c>
      <c r="E112" s="13" t="n">
        <v>0.25</v>
      </c>
      <c r="F112" s="13" t="n">
        <v>0.4</v>
      </c>
      <c r="G112" s="8" t="s">
        <v>95</v>
      </c>
      <c r="H112" s="8" t="s">
        <v>42</v>
      </c>
      <c r="I112" s="8"/>
      <c r="J112" s="8" t="s">
        <v>43</v>
      </c>
      <c r="K112" s="8" t="s">
        <v>444</v>
      </c>
      <c r="L112" s="8" t="s">
        <v>445</v>
      </c>
      <c r="M112" s="10" t="s">
        <v>46</v>
      </c>
      <c r="N112" s="10" t="s">
        <v>446</v>
      </c>
    </row>
    <row r="113" customFormat="false" ht="34.5" hidden="false" customHeight="true" outlineLevel="0" collapsed="false">
      <c r="A113" s="8" t="s">
        <v>447</v>
      </c>
      <c r="B113" s="8" t="s">
        <v>442</v>
      </c>
      <c r="C113" s="8" t="s">
        <v>448</v>
      </c>
      <c r="D113" s="13" t="n">
        <v>0.2</v>
      </c>
      <c r="E113" s="13" t="n">
        <v>0.25</v>
      </c>
      <c r="F113" s="13" t="n">
        <v>0.35</v>
      </c>
      <c r="G113" s="8" t="s">
        <v>95</v>
      </c>
      <c r="H113" s="8" t="s">
        <v>42</v>
      </c>
      <c r="I113" s="8"/>
      <c r="J113" s="8" t="s">
        <v>43</v>
      </c>
      <c r="K113" s="8" t="s">
        <v>449</v>
      </c>
      <c r="L113" s="8" t="s">
        <v>445</v>
      </c>
      <c r="M113" s="10" t="s">
        <v>46</v>
      </c>
      <c r="N113" s="10" t="s">
        <v>446</v>
      </c>
    </row>
    <row r="114" customFormat="false" ht="45.75" hidden="false" customHeight="true" outlineLevel="0" collapsed="false">
      <c r="A114" s="8" t="s">
        <v>450</v>
      </c>
      <c r="B114" s="8" t="s">
        <v>442</v>
      </c>
      <c r="C114" s="8" t="s">
        <v>451</v>
      </c>
      <c r="D114" s="8"/>
      <c r="E114" s="9" t="s">
        <v>452</v>
      </c>
      <c r="F114" s="8"/>
      <c r="G114" s="8" t="s">
        <v>41</v>
      </c>
      <c r="H114" s="8" t="s">
        <v>42</v>
      </c>
      <c r="I114" s="8"/>
      <c r="J114" s="8" t="s">
        <v>43</v>
      </c>
      <c r="K114" s="8" t="s">
        <v>453</v>
      </c>
      <c r="L114" s="8" t="s">
        <v>445</v>
      </c>
      <c r="M114" s="10" t="s">
        <v>46</v>
      </c>
      <c r="N114" s="10" t="s">
        <v>446</v>
      </c>
    </row>
    <row r="115" customFormat="false" ht="79.5" hidden="false" customHeight="true" outlineLevel="0" collapsed="false">
      <c r="A115" s="8" t="s">
        <v>454</v>
      </c>
      <c r="B115" s="8" t="s">
        <v>442</v>
      </c>
      <c r="C115" s="8" t="s">
        <v>455</v>
      </c>
      <c r="D115" s="8"/>
      <c r="E115" s="9" t="s">
        <v>456</v>
      </c>
      <c r="F115" s="8"/>
      <c r="G115" s="8" t="s">
        <v>41</v>
      </c>
      <c r="H115" s="8" t="s">
        <v>42</v>
      </c>
      <c r="I115" s="8" t="s">
        <v>109</v>
      </c>
      <c r="J115" s="8" t="s">
        <v>114</v>
      </c>
      <c r="K115" s="8" t="s">
        <v>457</v>
      </c>
      <c r="L115" s="8" t="s">
        <v>445</v>
      </c>
      <c r="M115" s="10" t="s">
        <v>46</v>
      </c>
      <c r="N115" s="10" t="s">
        <v>446</v>
      </c>
    </row>
    <row r="116" customFormat="false" ht="34.5" hidden="false" customHeight="true" outlineLevel="0" collapsed="false">
      <c r="A116" s="8" t="s">
        <v>458</v>
      </c>
      <c r="B116" s="8" t="s">
        <v>459</v>
      </c>
      <c r="C116" s="8" t="s">
        <v>460</v>
      </c>
      <c r="D116" s="13" t="n">
        <v>0.3</v>
      </c>
      <c r="E116" s="13" t="n">
        <v>0.37</v>
      </c>
      <c r="F116" s="13" t="n">
        <v>0.45</v>
      </c>
      <c r="G116" s="8" t="s">
        <v>95</v>
      </c>
      <c r="H116" s="8" t="s">
        <v>42</v>
      </c>
      <c r="I116" s="8" t="s">
        <v>180</v>
      </c>
      <c r="J116" s="8" t="s">
        <v>97</v>
      </c>
      <c r="K116" s="8" t="s">
        <v>461</v>
      </c>
      <c r="L116" s="8" t="s">
        <v>462</v>
      </c>
      <c r="M116" s="10" t="s">
        <v>46</v>
      </c>
      <c r="N116" s="10" t="s">
        <v>463</v>
      </c>
    </row>
    <row r="117" customFormat="false" ht="135.75" hidden="false" customHeight="true" outlineLevel="0" collapsed="false">
      <c r="A117" s="8" t="s">
        <v>464</v>
      </c>
      <c r="B117" s="8" t="s">
        <v>459</v>
      </c>
      <c r="C117" s="8" t="s">
        <v>465</v>
      </c>
      <c r="D117" s="8"/>
      <c r="E117" s="9" t="s">
        <v>466</v>
      </c>
      <c r="F117" s="8"/>
      <c r="G117" s="8" t="s">
        <v>41</v>
      </c>
      <c r="H117" s="8" t="s">
        <v>42</v>
      </c>
      <c r="I117" s="8" t="s">
        <v>215</v>
      </c>
      <c r="J117" s="8" t="s">
        <v>216</v>
      </c>
      <c r="K117" s="8" t="s">
        <v>467</v>
      </c>
      <c r="L117" s="8" t="s">
        <v>462</v>
      </c>
      <c r="M117" s="10" t="s">
        <v>46</v>
      </c>
      <c r="N117" s="10" t="s">
        <v>463</v>
      </c>
    </row>
    <row r="118" customFormat="false" ht="102" hidden="false" customHeight="true" outlineLevel="0" collapsed="false">
      <c r="A118" s="8" t="s">
        <v>468</v>
      </c>
      <c r="B118" s="8" t="s">
        <v>459</v>
      </c>
      <c r="C118" s="8" t="s">
        <v>469</v>
      </c>
      <c r="D118" s="8"/>
      <c r="E118" s="9" t="s">
        <v>470</v>
      </c>
      <c r="F118" s="8"/>
      <c r="G118" s="8" t="s">
        <v>41</v>
      </c>
      <c r="H118" s="8" t="s">
        <v>42</v>
      </c>
      <c r="I118" s="8" t="s">
        <v>471</v>
      </c>
      <c r="J118" s="8" t="s">
        <v>97</v>
      </c>
      <c r="K118" s="8" t="s">
        <v>472</v>
      </c>
      <c r="L118" s="8" t="s">
        <v>462</v>
      </c>
      <c r="M118" s="10" t="s">
        <v>46</v>
      </c>
      <c r="N118" s="10" t="s">
        <v>463</v>
      </c>
    </row>
    <row r="119" customFormat="false" ht="124.5" hidden="false" customHeight="true" outlineLevel="0" collapsed="false">
      <c r="A119" s="8" t="s">
        <v>473</v>
      </c>
      <c r="B119" s="8" t="s">
        <v>459</v>
      </c>
      <c r="C119" s="8" t="s">
        <v>474</v>
      </c>
      <c r="D119" s="8"/>
      <c r="E119" s="9" t="s">
        <v>475</v>
      </c>
      <c r="F119" s="8"/>
      <c r="G119" s="8" t="s">
        <v>41</v>
      </c>
      <c r="H119" s="8" t="s">
        <v>42</v>
      </c>
      <c r="I119" s="8"/>
      <c r="J119" s="8" t="s">
        <v>43</v>
      </c>
      <c r="K119" s="8" t="s">
        <v>476</v>
      </c>
      <c r="L119" s="8" t="s">
        <v>462</v>
      </c>
      <c r="M119" s="10" t="s">
        <v>46</v>
      </c>
      <c r="N119" s="10" t="s">
        <v>463</v>
      </c>
    </row>
    <row r="120" customFormat="false" ht="34.5" hidden="false" customHeight="true" outlineLevel="0" collapsed="false">
      <c r="A120" s="8" t="s">
        <v>477</v>
      </c>
      <c r="B120" s="8" t="s">
        <v>459</v>
      </c>
      <c r="C120" s="8" t="s">
        <v>478</v>
      </c>
      <c r="D120" s="8"/>
      <c r="E120" s="9" t="s">
        <v>479</v>
      </c>
      <c r="F120" s="8"/>
      <c r="G120" s="8" t="s">
        <v>41</v>
      </c>
      <c r="H120" s="8" t="s">
        <v>42</v>
      </c>
      <c r="I120" s="8"/>
      <c r="J120" s="8" t="s">
        <v>43</v>
      </c>
      <c r="K120" s="8" t="s">
        <v>480</v>
      </c>
      <c r="L120" s="8" t="s">
        <v>462</v>
      </c>
      <c r="M120" s="10" t="s">
        <v>46</v>
      </c>
      <c r="N120" s="10" t="s">
        <v>463</v>
      </c>
    </row>
  </sheetData>
  <dataValidations count="8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  <dataValidation allowBlank="true" errorStyle="stop" operator="between" showDropDown="false" showErrorMessage="false" showInputMessage="false" sqref="M77:M93" type="list">
      <formula1>"Accept,Change,Reject"</formula1>
      <formula2>0</formula2>
    </dataValidation>
    <dataValidation allowBlank="true" errorStyle="stop" operator="between" showDropDown="false" showErrorMessage="false" showInputMessage="false" sqref="M94:M102" type="list">
      <formula1>"Accept,Change,Reject"</formula1>
      <formula2>0</formula2>
    </dataValidation>
    <dataValidation allowBlank="true" errorStyle="stop" operator="between" showDropDown="false" showErrorMessage="false" showInputMessage="false" sqref="M103:M111" type="list">
      <formula1>"Accept,Change,Reject"</formula1>
      <formula2>0</formula2>
    </dataValidation>
    <dataValidation allowBlank="true" errorStyle="stop" operator="between" showDropDown="false" showErrorMessage="false" showInputMessage="false" sqref="M112:M115" type="list">
      <formula1>"Accept,Change,Reject"</formula1>
      <formula2>0</formula2>
    </dataValidation>
    <dataValidation allowBlank="true" errorStyle="stop" operator="between" showDropDown="false" showErrorMessage="false" showInputMessage="false" sqref="M116:M120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4" min="3" style="1" width="14"/>
    <col collapsed="false" customWidth="true" hidden="false" outlineLevel="0" max="6" min="5" style="1" width="16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481</v>
      </c>
    </row>
    <row r="2" customFormat="false" ht="15" hidden="false" customHeight="true" outlineLevel="0" collapsed="false">
      <c r="A2" s="6" t="s">
        <v>482</v>
      </c>
    </row>
    <row r="4" customFormat="false" ht="15" hidden="false" customHeight="true" outlineLevel="0" collapsed="false">
      <c r="A4" s="7" t="s">
        <v>483</v>
      </c>
      <c r="B4" s="7" t="s">
        <v>484</v>
      </c>
      <c r="C4" s="7" t="s">
        <v>485</v>
      </c>
      <c r="D4" s="7" t="s">
        <v>486</v>
      </c>
      <c r="E4" s="7" t="s">
        <v>30</v>
      </c>
      <c r="F4" s="7" t="s">
        <v>35</v>
      </c>
      <c r="G4" s="7" t="s">
        <v>36</v>
      </c>
    </row>
    <row r="5" customFormat="false" ht="23.25" hidden="false" customHeight="true" outlineLevel="0" collapsed="false">
      <c r="A5" s="8" t="s">
        <v>487</v>
      </c>
      <c r="B5" s="8" t="s">
        <v>488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289</v>
      </c>
    </row>
    <row r="6" customFormat="false" ht="23.25" hidden="false" customHeight="true" outlineLevel="0" collapsed="false">
      <c r="A6" s="8" t="s">
        <v>487</v>
      </c>
      <c r="B6" s="8" t="s">
        <v>489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289</v>
      </c>
    </row>
    <row r="7" customFormat="false" ht="23.25" hidden="false" customHeight="true" outlineLevel="0" collapsed="false">
      <c r="A7" s="8" t="s">
        <v>487</v>
      </c>
      <c r="B7" s="8" t="s">
        <v>490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289</v>
      </c>
    </row>
    <row r="8" customFormat="false" ht="23.25" hidden="false" customHeight="true" outlineLevel="0" collapsed="false">
      <c r="A8" s="8" t="s">
        <v>487</v>
      </c>
      <c r="B8" s="8" t="s">
        <v>491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289</v>
      </c>
    </row>
    <row r="9" customFormat="false" ht="23.25" hidden="false" customHeight="true" outlineLevel="0" collapsed="false">
      <c r="A9" s="8" t="s">
        <v>487</v>
      </c>
      <c r="B9" s="8" t="s">
        <v>492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289</v>
      </c>
    </row>
    <row r="10" customFormat="false" ht="23.25" hidden="false" customHeight="true" outlineLevel="0" collapsed="false">
      <c r="A10" s="8" t="s">
        <v>487</v>
      </c>
      <c r="B10" s="8" t="s">
        <v>493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289</v>
      </c>
    </row>
    <row r="11" customFormat="false" ht="23.25" hidden="false" customHeight="true" outlineLevel="0" collapsed="false">
      <c r="A11" s="8" t="s">
        <v>487</v>
      </c>
      <c r="B11" s="8" t="s">
        <v>494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289</v>
      </c>
    </row>
    <row r="12" customFormat="false" ht="23.25" hidden="false" customHeight="true" outlineLevel="0" collapsed="false">
      <c r="A12" s="8" t="s">
        <v>487</v>
      </c>
      <c r="B12" s="8" t="s">
        <v>495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289</v>
      </c>
    </row>
    <row r="13" customFormat="false" ht="23.25" hidden="false" customHeight="true" outlineLevel="0" collapsed="false">
      <c r="A13" s="8" t="s">
        <v>496</v>
      </c>
      <c r="B13" s="8" t="s">
        <v>497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289</v>
      </c>
    </row>
    <row r="14" customFormat="false" ht="23.25" hidden="false" customHeight="true" outlineLevel="0" collapsed="false">
      <c r="A14" s="8" t="s">
        <v>496</v>
      </c>
      <c r="B14" s="8" t="s">
        <v>498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289</v>
      </c>
    </row>
    <row r="15" customFormat="false" ht="23.25" hidden="false" customHeight="true" outlineLevel="0" collapsed="false">
      <c r="A15" s="8" t="s">
        <v>496</v>
      </c>
      <c r="B15" s="8" t="s">
        <v>499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289</v>
      </c>
    </row>
    <row r="16" customFormat="false" ht="23.25" hidden="false" customHeight="true" outlineLevel="0" collapsed="false">
      <c r="A16" s="8" t="s">
        <v>496</v>
      </c>
      <c r="B16" s="8" t="s">
        <v>500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289</v>
      </c>
    </row>
    <row r="17" customFormat="false" ht="23.25" hidden="false" customHeight="true" outlineLevel="0" collapsed="false">
      <c r="A17" s="8" t="s">
        <v>496</v>
      </c>
      <c r="B17" s="8" t="s">
        <v>501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289</v>
      </c>
    </row>
    <row r="18" customFormat="false" ht="23.25" hidden="false" customHeight="true" outlineLevel="0" collapsed="false">
      <c r="A18" s="8" t="s">
        <v>496</v>
      </c>
      <c r="B18" s="8" t="s">
        <v>502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289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503</v>
      </c>
    </row>
    <row r="2" customFormat="false" ht="15" hidden="false" customHeight="true" outlineLevel="0" collapsed="false">
      <c r="A2" s="6" t="s">
        <v>504</v>
      </c>
    </row>
    <row r="4" customFormat="false" ht="23.25" hidden="false" customHeight="true" outlineLevel="0" collapsed="false">
      <c r="A4" s="7" t="s">
        <v>23</v>
      </c>
      <c r="B4" s="7" t="s">
        <v>505</v>
      </c>
      <c r="C4" s="7" t="s">
        <v>506</v>
      </c>
      <c r="D4" s="7" t="s">
        <v>507</v>
      </c>
      <c r="E4" s="7" t="s">
        <v>508</v>
      </c>
      <c r="F4" s="7" t="s">
        <v>509</v>
      </c>
      <c r="G4" s="7" t="s">
        <v>510</v>
      </c>
      <c r="H4" s="7" t="s">
        <v>34</v>
      </c>
    </row>
    <row r="5" customFormat="false" ht="15" hidden="false" customHeight="true" outlineLevel="0" collapsed="false">
      <c r="A5" s="8" t="s">
        <v>511</v>
      </c>
      <c r="B5" s="8" t="s">
        <v>512</v>
      </c>
      <c r="C5" s="8" t="s">
        <v>513</v>
      </c>
      <c r="D5" s="17" t="n">
        <f aca="false">Parameters!E51</f>
        <v>12</v>
      </c>
      <c r="E5" s="8" t="s">
        <v>224</v>
      </c>
      <c r="F5" s="8" t="s">
        <v>514</v>
      </c>
      <c r="G5" s="8" t="s">
        <v>515</v>
      </c>
      <c r="H5" s="8" t="s">
        <v>45</v>
      </c>
    </row>
    <row r="6" customFormat="false" ht="15" hidden="false" customHeight="true" outlineLevel="0" collapsed="false">
      <c r="A6" s="8" t="s">
        <v>516</v>
      </c>
      <c r="B6" s="8" t="s">
        <v>517</v>
      </c>
      <c r="C6" s="8" t="s">
        <v>518</v>
      </c>
      <c r="D6" s="17" t="n">
        <f aca="false">Parameters!E52</f>
        <v>6</v>
      </c>
      <c r="E6" s="8" t="s">
        <v>228</v>
      </c>
      <c r="F6" s="8" t="s">
        <v>519</v>
      </c>
      <c r="G6" s="8" t="s">
        <v>515</v>
      </c>
      <c r="H6" s="8" t="s">
        <v>45</v>
      </c>
    </row>
    <row r="7" customFormat="false" ht="15" hidden="false" customHeight="true" outlineLevel="0" collapsed="false">
      <c r="A7" s="8" t="s">
        <v>520</v>
      </c>
      <c r="B7" s="8" t="s">
        <v>521</v>
      </c>
      <c r="C7" s="8" t="s">
        <v>522</v>
      </c>
      <c r="D7" s="17" t="n">
        <f aca="false">Parameters!E53</f>
        <v>6</v>
      </c>
      <c r="E7" s="8" t="s">
        <v>231</v>
      </c>
      <c r="F7" s="8" t="s">
        <v>523</v>
      </c>
      <c r="G7" s="8" t="s">
        <v>524</v>
      </c>
      <c r="H7" s="8" t="s">
        <v>45</v>
      </c>
    </row>
    <row r="8" customFormat="false" ht="15" hidden="false" customHeight="true" outlineLevel="0" collapsed="false">
      <c r="A8" s="8" t="s">
        <v>525</v>
      </c>
      <c r="B8" s="8" t="s">
        <v>526</v>
      </c>
      <c r="C8" s="8" t="s">
        <v>513</v>
      </c>
      <c r="D8" s="17" t="n">
        <f aca="false">Parameters!E54</f>
        <v>8</v>
      </c>
      <c r="E8" s="8" t="s">
        <v>234</v>
      </c>
      <c r="F8" s="8" t="s">
        <v>527</v>
      </c>
      <c r="G8" s="8" t="s">
        <v>515</v>
      </c>
      <c r="H8" s="8" t="s">
        <v>45</v>
      </c>
    </row>
    <row r="9" customFormat="false" ht="15" hidden="false" customHeight="true" outlineLevel="0" collapsed="false">
      <c r="A9" s="8" t="s">
        <v>528</v>
      </c>
      <c r="B9" s="8" t="s">
        <v>529</v>
      </c>
      <c r="C9" s="8" t="s">
        <v>518</v>
      </c>
      <c r="D9" s="17" t="n">
        <f aca="false">Parameters!E55</f>
        <v>5</v>
      </c>
      <c r="E9" s="8" t="s">
        <v>237</v>
      </c>
      <c r="F9" s="8" t="s">
        <v>530</v>
      </c>
      <c r="G9" s="8" t="s">
        <v>515</v>
      </c>
      <c r="H9" s="8" t="s">
        <v>45</v>
      </c>
    </row>
    <row r="10" customFormat="false" ht="15" hidden="false" customHeight="true" outlineLevel="0" collapsed="false">
      <c r="A10" s="8" t="s">
        <v>531</v>
      </c>
      <c r="B10" s="8" t="s">
        <v>532</v>
      </c>
      <c r="C10" s="8" t="s">
        <v>533</v>
      </c>
      <c r="D10" s="18" t="n">
        <f aca="false">Parameters!E26</f>
        <v>0.25</v>
      </c>
      <c r="E10" s="8" t="s">
        <v>130</v>
      </c>
      <c r="F10" s="8" t="s">
        <v>534</v>
      </c>
      <c r="G10" s="8" t="s">
        <v>535</v>
      </c>
      <c r="H10" s="8" t="s">
        <v>45</v>
      </c>
    </row>
    <row r="11" customFormat="false" ht="15" hidden="false" customHeight="true" outlineLevel="0" collapsed="false">
      <c r="A11" s="8" t="s">
        <v>536</v>
      </c>
      <c r="B11" s="8" t="s">
        <v>537</v>
      </c>
      <c r="C11" s="8" t="s">
        <v>538</v>
      </c>
      <c r="D11" s="18" t="n">
        <f aca="false">Parameters!E28</f>
        <v>-0.05</v>
      </c>
      <c r="E11" s="8" t="s">
        <v>137</v>
      </c>
      <c r="F11" s="8" t="s">
        <v>539</v>
      </c>
      <c r="G11" s="8" t="s">
        <v>535</v>
      </c>
      <c r="H11" s="8" t="s">
        <v>45</v>
      </c>
    </row>
    <row r="12" customFormat="false" ht="15" hidden="false" customHeight="true" outlineLevel="0" collapsed="false">
      <c r="A12" s="8" t="s">
        <v>540</v>
      </c>
      <c r="B12" s="8" t="s">
        <v>541</v>
      </c>
      <c r="C12" s="8" t="s">
        <v>542</v>
      </c>
      <c r="D12" s="17" t="n">
        <f aca="false">Parameters!E45</f>
        <v>4</v>
      </c>
      <c r="E12" s="8" t="s">
        <v>200</v>
      </c>
      <c r="F12" s="8" t="s">
        <v>543</v>
      </c>
      <c r="G12" s="8" t="s">
        <v>535</v>
      </c>
      <c r="H12" s="8" t="s">
        <v>45</v>
      </c>
    </row>
    <row r="13" customFormat="false" ht="15" hidden="false" customHeight="true" outlineLevel="0" collapsed="false">
      <c r="A13" s="8" t="s">
        <v>544</v>
      </c>
      <c r="B13" s="8" t="s">
        <v>545</v>
      </c>
      <c r="C13" s="8" t="s">
        <v>546</v>
      </c>
      <c r="D13" s="17" t="n">
        <f aca="false">Parameters!E38</f>
        <v>15</v>
      </c>
      <c r="E13" s="8" t="s">
        <v>174</v>
      </c>
      <c r="F13" s="8" t="s">
        <v>547</v>
      </c>
      <c r="G13" s="8" t="s">
        <v>535</v>
      </c>
      <c r="H13" s="8" t="s">
        <v>45</v>
      </c>
    </row>
    <row r="14" customFormat="false" ht="15" hidden="false" customHeight="true" outlineLevel="0" collapsed="false">
      <c r="A14" s="8" t="s">
        <v>548</v>
      </c>
      <c r="B14" s="8" t="s">
        <v>158</v>
      </c>
      <c r="C14" s="8" t="s">
        <v>549</v>
      </c>
      <c r="D14" s="18" t="n">
        <f aca="false">Parameters!E34</f>
        <v>0.07</v>
      </c>
      <c r="E14" s="8" t="s">
        <v>156</v>
      </c>
      <c r="F14" s="8" t="s">
        <v>550</v>
      </c>
      <c r="G14" s="8" t="s">
        <v>535</v>
      </c>
      <c r="H14" s="8" t="s">
        <v>45</v>
      </c>
    </row>
    <row r="15" customFormat="false" ht="15" hidden="false" customHeight="true" outlineLevel="0" collapsed="false">
      <c r="A15" s="8" t="s">
        <v>551</v>
      </c>
      <c r="B15" s="8" t="s">
        <v>552</v>
      </c>
      <c r="C15" s="8" t="s">
        <v>553</v>
      </c>
      <c r="D15" s="17" t="n">
        <f aca="false">Parameters!E50</f>
        <v>10</v>
      </c>
      <c r="E15" s="8" t="s">
        <v>220</v>
      </c>
      <c r="F15" s="8" t="s">
        <v>554</v>
      </c>
      <c r="G15" s="8" t="s">
        <v>535</v>
      </c>
      <c r="H15" s="8" t="s">
        <v>45</v>
      </c>
    </row>
    <row r="16" customFormat="false" ht="15" hidden="false" customHeight="true" outlineLevel="0" collapsed="false">
      <c r="A16" s="8" t="s">
        <v>555</v>
      </c>
      <c r="B16" s="8" t="s">
        <v>556</v>
      </c>
      <c r="C16" s="8" t="s">
        <v>557</v>
      </c>
      <c r="D16" s="19" t="n">
        <f aca="false">Parameters!E22</f>
        <v>15</v>
      </c>
      <c r="E16" s="8" t="s">
        <v>111</v>
      </c>
      <c r="F16" s="8" t="s">
        <v>558</v>
      </c>
      <c r="G16" s="8" t="s">
        <v>535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559</v>
      </c>
    </row>
    <row r="3" customFormat="false" ht="15" hidden="false" customHeight="true" outlineLevel="0" collapsed="false">
      <c r="A3" s="7" t="s">
        <v>23</v>
      </c>
      <c r="B3" s="7" t="s">
        <v>560</v>
      </c>
      <c r="C3" s="7" t="s">
        <v>561</v>
      </c>
      <c r="D3" s="7" t="s">
        <v>562</v>
      </c>
      <c r="E3" s="7" t="s">
        <v>563</v>
      </c>
      <c r="F3" s="7" t="s">
        <v>564</v>
      </c>
      <c r="G3" s="7" t="s">
        <v>565</v>
      </c>
    </row>
    <row r="4" customFormat="false" ht="23.25" hidden="false" customHeight="true" outlineLevel="0" collapsed="false">
      <c r="A4" s="8" t="s">
        <v>132</v>
      </c>
      <c r="B4" s="8" t="s">
        <v>566</v>
      </c>
      <c r="C4" s="8" t="s">
        <v>567</v>
      </c>
      <c r="D4" s="8" t="s">
        <v>568</v>
      </c>
      <c r="E4" s="8" t="s">
        <v>114</v>
      </c>
      <c r="F4" s="8" t="s">
        <v>569</v>
      </c>
      <c r="G4" s="8" t="s">
        <v>570</v>
      </c>
    </row>
    <row r="5" customFormat="false" ht="15" hidden="false" customHeight="true" outlineLevel="0" collapsed="false">
      <c r="A5" s="8" t="s">
        <v>571</v>
      </c>
      <c r="B5" s="8" t="s">
        <v>572</v>
      </c>
      <c r="C5" s="8" t="s">
        <v>573</v>
      </c>
      <c r="D5" s="8" t="s">
        <v>574</v>
      </c>
      <c r="E5" s="8" t="s">
        <v>114</v>
      </c>
      <c r="F5" s="8" t="s">
        <v>575</v>
      </c>
      <c r="G5" s="8" t="s">
        <v>576</v>
      </c>
    </row>
    <row r="6" customFormat="false" ht="23.25" hidden="false" customHeight="true" outlineLevel="0" collapsed="false">
      <c r="A6" s="8" t="s">
        <v>128</v>
      </c>
      <c r="B6" s="8" t="s">
        <v>577</v>
      </c>
      <c r="C6" s="8" t="s">
        <v>578</v>
      </c>
      <c r="D6" s="8" t="s">
        <v>579</v>
      </c>
      <c r="E6" s="8" t="s">
        <v>114</v>
      </c>
      <c r="F6" s="8" t="s">
        <v>580</v>
      </c>
      <c r="G6" s="8" t="s">
        <v>581</v>
      </c>
    </row>
    <row r="7" customFormat="false" ht="15" hidden="false" customHeight="true" outlineLevel="0" collapsed="false">
      <c r="A7" s="8" t="s">
        <v>329</v>
      </c>
      <c r="B7" s="8" t="s">
        <v>582</v>
      </c>
      <c r="C7" s="8" t="s">
        <v>583</v>
      </c>
      <c r="D7" s="8" t="s">
        <v>584</v>
      </c>
      <c r="E7" s="8" t="s">
        <v>114</v>
      </c>
      <c r="F7" s="8" t="s">
        <v>585</v>
      </c>
      <c r="G7" s="8" t="s">
        <v>586</v>
      </c>
    </row>
    <row r="8" customFormat="false" ht="23.25" hidden="false" customHeight="true" outlineLevel="0" collapsed="false">
      <c r="A8" s="8" t="s">
        <v>101</v>
      </c>
      <c r="B8" s="8" t="s">
        <v>587</v>
      </c>
      <c r="C8" s="8" t="s">
        <v>588</v>
      </c>
      <c r="D8" s="8" t="s">
        <v>589</v>
      </c>
      <c r="E8" s="8" t="s">
        <v>114</v>
      </c>
      <c r="F8" s="8" t="s">
        <v>590</v>
      </c>
      <c r="G8" s="8" t="s">
        <v>591</v>
      </c>
    </row>
    <row r="9" customFormat="false" ht="23.25" hidden="false" customHeight="true" outlineLevel="0" collapsed="false">
      <c r="A9" s="8" t="s">
        <v>109</v>
      </c>
      <c r="B9" s="8" t="s">
        <v>592</v>
      </c>
      <c r="C9" s="8" t="s">
        <v>593</v>
      </c>
      <c r="D9" s="8" t="s">
        <v>574</v>
      </c>
      <c r="E9" s="8" t="s">
        <v>114</v>
      </c>
      <c r="F9" s="8" t="s">
        <v>594</v>
      </c>
      <c r="G9" s="8" t="s">
        <v>595</v>
      </c>
    </row>
    <row r="10" customFormat="false" ht="15" hidden="false" customHeight="true" outlineLevel="0" collapsed="false">
      <c r="A10" s="8" t="s">
        <v>151</v>
      </c>
      <c r="B10" s="8" t="s">
        <v>596</v>
      </c>
      <c r="C10" s="8" t="s">
        <v>597</v>
      </c>
      <c r="D10" s="8" t="s">
        <v>598</v>
      </c>
      <c r="E10" s="8" t="s">
        <v>114</v>
      </c>
      <c r="F10" s="8" t="s">
        <v>599</v>
      </c>
      <c r="G10" s="8" t="s">
        <v>600</v>
      </c>
    </row>
    <row r="11" customFormat="false" ht="15" hidden="false" customHeight="true" outlineLevel="0" collapsed="false">
      <c r="A11" s="8" t="s">
        <v>155</v>
      </c>
      <c r="B11" s="8" t="s">
        <v>601</v>
      </c>
      <c r="C11" s="8" t="s">
        <v>602</v>
      </c>
      <c r="D11" s="8" t="s">
        <v>603</v>
      </c>
      <c r="E11" s="8" t="s">
        <v>114</v>
      </c>
      <c r="F11" s="8" t="s">
        <v>604</v>
      </c>
      <c r="G11" s="8" t="s">
        <v>605</v>
      </c>
    </row>
    <row r="12" customFormat="false" ht="23.25" hidden="false" customHeight="true" outlineLevel="0" collapsed="false">
      <c r="A12" s="8" t="s">
        <v>161</v>
      </c>
      <c r="B12" s="8" t="s">
        <v>606</v>
      </c>
      <c r="C12" s="8" t="s">
        <v>607</v>
      </c>
      <c r="D12" s="8" t="s">
        <v>568</v>
      </c>
      <c r="E12" s="8" t="s">
        <v>114</v>
      </c>
      <c r="F12" s="8" t="s">
        <v>608</v>
      </c>
      <c r="G12" s="8" t="s">
        <v>609</v>
      </c>
    </row>
    <row r="13" customFormat="false" ht="23.25" hidden="false" customHeight="true" outlineLevel="0" collapsed="false">
      <c r="A13" s="8" t="s">
        <v>180</v>
      </c>
      <c r="B13" s="8" t="s">
        <v>610</v>
      </c>
      <c r="C13" s="8" t="s">
        <v>611</v>
      </c>
      <c r="D13" s="8" t="s">
        <v>612</v>
      </c>
      <c r="E13" s="8" t="s">
        <v>97</v>
      </c>
      <c r="F13" s="8" t="s">
        <v>613</v>
      </c>
      <c r="G13" s="8" t="s">
        <v>614</v>
      </c>
    </row>
    <row r="14" customFormat="false" ht="15" hidden="false" customHeight="true" outlineLevel="0" collapsed="false">
      <c r="A14" s="8" t="s">
        <v>188</v>
      </c>
      <c r="B14" s="8" t="s">
        <v>615</v>
      </c>
      <c r="C14" s="8" t="s">
        <v>616</v>
      </c>
      <c r="D14" s="8" t="s">
        <v>617</v>
      </c>
      <c r="E14" s="8" t="s">
        <v>114</v>
      </c>
      <c r="F14" s="8" t="s">
        <v>618</v>
      </c>
      <c r="G14" s="8" t="s">
        <v>619</v>
      </c>
    </row>
    <row r="15" customFormat="false" ht="23.25" hidden="false" customHeight="true" outlineLevel="0" collapsed="false">
      <c r="A15" s="8" t="s">
        <v>184</v>
      </c>
      <c r="B15" s="8" t="s">
        <v>620</v>
      </c>
      <c r="C15" s="8" t="s">
        <v>621</v>
      </c>
      <c r="D15" s="8" t="s">
        <v>622</v>
      </c>
      <c r="E15" s="8" t="s">
        <v>97</v>
      </c>
      <c r="F15" s="8" t="s">
        <v>623</v>
      </c>
      <c r="G15" s="8" t="s">
        <v>624</v>
      </c>
    </row>
    <row r="16" customFormat="false" ht="23.25" hidden="false" customHeight="true" outlineLevel="0" collapsed="false">
      <c r="A16" s="8" t="s">
        <v>625</v>
      </c>
      <c r="B16" s="8" t="s">
        <v>626</v>
      </c>
      <c r="C16" s="8" t="s">
        <v>627</v>
      </c>
      <c r="D16" s="8" t="s">
        <v>628</v>
      </c>
      <c r="E16" s="8" t="s">
        <v>114</v>
      </c>
      <c r="F16" s="8" t="s">
        <v>629</v>
      </c>
      <c r="G16" s="8" t="s">
        <v>630</v>
      </c>
    </row>
    <row r="17" customFormat="false" ht="15" hidden="false" customHeight="true" outlineLevel="0" collapsed="false">
      <c r="A17" s="8" t="s">
        <v>215</v>
      </c>
      <c r="B17" s="8" t="s">
        <v>631</v>
      </c>
      <c r="C17" s="8" t="s">
        <v>632</v>
      </c>
      <c r="D17" s="8" t="s">
        <v>633</v>
      </c>
      <c r="E17" s="8" t="s">
        <v>216</v>
      </c>
      <c r="F17" s="8" t="s">
        <v>634</v>
      </c>
      <c r="G17" s="8" t="s">
        <v>635</v>
      </c>
    </row>
    <row r="18" customFormat="false" ht="23.25" hidden="false" customHeight="true" outlineLevel="0" collapsed="false">
      <c r="A18" s="8" t="s">
        <v>636</v>
      </c>
      <c r="B18" s="8" t="s">
        <v>637</v>
      </c>
      <c r="C18" s="8" t="s">
        <v>638</v>
      </c>
      <c r="D18" s="8" t="s">
        <v>603</v>
      </c>
      <c r="E18" s="8" t="s">
        <v>114</v>
      </c>
      <c r="F18" s="8" t="s">
        <v>639</v>
      </c>
      <c r="G18" s="8" t="s">
        <v>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2026-10-18T21:01:56Z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