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arameters" sheetId="2" state="visible" r:id="rId4"/>
    <sheet name="Price_bands" sheetId="3" state="visible" r:id="rId5"/>
    <sheet name="Planted_problem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<sst xmlns="http://schemas.openxmlformats.org/spreadsheetml/2006/main" count="1452" uniqueCount="599">
  <si>
    <t xml:space="preserve">Mwangaza AV: assumptions register (synthetic case study)</t>
  </si>
  <si>
    <t xml:space="preserve">STATUS: all values ACCEPTED as proposed by the owner on 2026-10-10 (Option B: bulk accept, not reviewed row by row). Two rows still need work: P11 (VAT) must be verified, and R06 (seasonality) is unknown. You can still change any row later.</t>
  </si>
  <si>
    <t xml:space="preserve">HOW TO USE</t>
  </si>
  <si>
    <t xml:space="preserve">Blue numbers are proposed values (inputs). Black text is explanation. Green numbers on Planted_problems are links to the Parameters sheet.</t>
  </si>
  <si>
    <t xml:space="preserve">Yellow cells (Parameters, columns M and N) are for you. Pick Accept, Change or Reject, and write what you want in the note.</t>
  </si>
  <si>
    <t xml:space="preserve">Example: Decision = Change. Note = 'Use 100 customers, not 150, because the company is small.'</t>
  </si>
  <si>
    <t xml:space="preserve">SOURCE GRADES</t>
  </si>
  <si>
    <t xml:space="preserve">A = official or primary source.  B = independent research.  C = vendor or trade source (may sell something, sample may be biased).  D = opinion or unclear origin.  n/a = our own assumption, no source.</t>
  </si>
  <si>
    <t xml:space="preserve">READ THIS BEFORE USING ANY NUMBER</t>
  </si>
  <si>
    <t xml:space="preserve">1. Most sources are vendors or trade magazines, mostly from the US and UK. No Kenyan AV-specific data was found. I cannot verify these ranges for a Kenyan business.</t>
  </si>
  <si>
    <t xml:space="preserve">2. 'Central' is a starting value we chose inside the range. It is NOT a verified average.</t>
  </si>
  <si>
    <t xml:space="preserve">3. KES prices (M07 to M09) are placeholders for realistic scale, not Kenyan market prices.</t>
  </si>
  <si>
    <t xml:space="preserve">4. Rows marked PLANTED create problems on purpose, so we can test whether our checks and analysis find them. They are not findings about any real company.</t>
  </si>
  <si>
    <t xml:space="preserve">5. Later we will rerun the analysis with values moved inside these ranges (sensitivity check) to see which answers depend on one number.</t>
  </si>
  <si>
    <t xml:space="preserve">REVIEW PROGRESS (updates by itself)</t>
  </si>
  <si>
    <t xml:space="preserve">Parameters in the register</t>
  </si>
  <si>
    <t xml:space="preserve">Accepted</t>
  </si>
  <si>
    <t xml:space="preserve">Changed</t>
  </si>
  <si>
    <t xml:space="preserve">Rejected</t>
  </si>
  <si>
    <t xml:space="preserve">Still undecided</t>
  </si>
  <si>
    <t xml:space="preserve">Rows marked VERIFY BEFORE USE or UNKNOWN</t>
  </si>
  <si>
    <t xml:space="preserve">Parameters for the synthetic data generator</t>
  </si>
  <si>
    <t xml:space="preserve">All values are PROPOSED. Edit the yellow columns (M and N). Low, Central and High are a range, not a verified average.</t>
  </si>
  <si>
    <t xml:space="preserve">ID</t>
  </si>
  <si>
    <t xml:space="preserve">Area</t>
  </si>
  <si>
    <t xml:space="preserve">Parameter</t>
  </si>
  <si>
    <t xml:space="preserve">Low</t>
  </si>
  <si>
    <t xml:space="preserve">Central</t>
  </si>
  <si>
    <t xml:space="preserve">High</t>
  </si>
  <si>
    <t xml:space="preserve">Unit</t>
  </si>
  <si>
    <t xml:space="preserve">Basis</t>
  </si>
  <si>
    <t xml:space="preserve">Source IDs</t>
  </si>
  <si>
    <t xml:space="preserve">Source grade</t>
  </si>
  <si>
    <t xml:space="preserve">How the generator uses it</t>
  </si>
  <si>
    <t xml:space="preserve">Status</t>
  </si>
  <si>
    <t xml:space="preserve">Owner decision</t>
  </si>
  <si>
    <t xml:space="preserve">Owner note</t>
  </si>
  <si>
    <t xml:space="preserve">G01</t>
  </si>
  <si>
    <t xml:space="preserve">Setup</t>
  </si>
  <si>
    <t xml:space="preserve">History window (dates)</t>
  </si>
  <si>
    <t xml:space="preserve">2023-10-01 to 2026-09-30 (36 months)</t>
  </si>
  <si>
    <t xml:space="preserve">text</t>
  </si>
  <si>
    <t xml:space="preserve">Our assumption</t>
  </si>
  <si>
    <t xml:space="preserve">n/a</t>
  </si>
  <si>
    <t xml:space="preserve">Dates the generator fills with activity</t>
  </si>
  <si>
    <t xml:space="preserve">ACCEPTED (bulk)</t>
  </si>
  <si>
    <t xml:space="preserve">Accept</t>
  </si>
  <si>
    <t xml:space="preserve">Bulk accepted as proposed by the owner (Option B), not reviewed row by row.</t>
  </si>
  <si>
    <t xml:space="preserve">G02</t>
  </si>
  <si>
    <t xml:space="preserve">Reporting as-of date</t>
  </si>
  <si>
    <t xml:space="preserve">2026-09-30</t>
  </si>
  <si>
    <t xml:space="preserve">Date used for ageing of unpaid invoices</t>
  </si>
  <si>
    <t xml:space="preserve">G03</t>
  </si>
  <si>
    <t xml:space="preserve">Random seed for setseed() (must be between -1 and 1)</t>
  </si>
  <si>
    <t xml:space="preserve">x</t>
  </si>
  <si>
    <t xml:space="preserve">Makes every rerun produce the same data</t>
  </si>
  <si>
    <t xml:space="preserve">G04</t>
  </si>
  <si>
    <t xml:space="preserve">Currency and VAT treatment</t>
  </si>
  <si>
    <t xml:space="preserve">KES; amounts before VAT; VAT stored separately</t>
  </si>
  <si>
    <t xml:space="preserve">Decisions D7 and D11</t>
  </si>
  <si>
    <t xml:space="preserve">G05</t>
  </si>
  <si>
    <t xml:space="preserve">Offices</t>
  </si>
  <si>
    <t xml:space="preserve">Nairobi and Mombasa (both Kenya, fictional)</t>
  </si>
  <si>
    <t xml:space="preserve">Two offices in one country keeps one currency and avoids copying any real firm's footprint. Changed from my earlier Kenya/Tanzania suggestion.</t>
  </si>
  <si>
    <t xml:space="preserve">G06</t>
  </si>
  <si>
    <t xml:space="preserve">Customers</t>
  </si>
  <si>
    <t xml:space="preserve">count</t>
  </si>
  <si>
    <t xml:space="preserve">Rows in customer</t>
  </si>
  <si>
    <t xml:space="preserve">G07</t>
  </si>
  <si>
    <t xml:space="preserve">Sectors</t>
  </si>
  <si>
    <t xml:space="preserve">7: hospitality, corporate, education, government, non-profit, events and media, healthcare</t>
  </si>
  <si>
    <t xml:space="preserve">Rows in sector. Chosen as generic, not copied from any real firm.</t>
  </si>
  <si>
    <t xml:space="preserve">G08</t>
  </si>
  <si>
    <t xml:space="preserve">Awarded jobs over the window</t>
  </si>
  <si>
    <t xml:space="preserve">Rows in job (projects division)</t>
  </si>
  <si>
    <t xml:space="preserve">G09</t>
  </si>
  <si>
    <t xml:space="preserve">Products in catalogue</t>
  </si>
  <si>
    <t xml:space="preserve">Rows in product</t>
  </si>
  <si>
    <t xml:space="preserve">G10</t>
  </si>
  <si>
    <t xml:space="preserve">Suppliers</t>
  </si>
  <si>
    <t xml:space="preserve">Rows in supplier</t>
  </si>
  <si>
    <t xml:space="preserve">G11</t>
  </si>
  <si>
    <t xml:space="preserve">Rental assets</t>
  </si>
  <si>
    <t xml:space="preserve">Rows in asset</t>
  </si>
  <si>
    <t xml:space="preserve">G12</t>
  </si>
  <si>
    <t xml:space="preserve">Rental booking volume</t>
  </si>
  <si>
    <t xml:space="preserve">Tuned so utilisation lands in the R01 to R02 ranges</t>
  </si>
  <si>
    <t xml:space="preserve">Not set directly; it follows from the utilisation targets</t>
  </si>
  <si>
    <t xml:space="preserve">G13</t>
  </si>
  <si>
    <t xml:space="preserve">Quote volume</t>
  </si>
  <si>
    <t xml:space="preserve">Derived: awarded orders divided by the win rate (C01 to C03)</t>
  </si>
  <si>
    <t xml:space="preserve">Not set directly</t>
  </si>
  <si>
    <t xml:space="preserve">C01</t>
  </si>
  <si>
    <t xml:space="preserve">Commercial</t>
  </si>
  <si>
    <t xml:space="preserve">Quote win rate: projects</t>
  </si>
  <si>
    <t xml:space="preserve">%</t>
  </si>
  <si>
    <t xml:space="preserve">S5, S6, S15</t>
  </si>
  <si>
    <t xml:space="preserve">D</t>
  </si>
  <si>
    <t xml:space="preserve">Share of projects quotes marked won. Sources give 19% to 70% for different things, so this is judgement.</t>
  </si>
  <si>
    <t xml:space="preserve">C02</t>
  </si>
  <si>
    <t xml:space="preserve">Quote win rate: products</t>
  </si>
  <si>
    <t xml:space="preserve">S5</t>
  </si>
  <si>
    <t xml:space="preserve">Share of products quotes marked won</t>
  </si>
  <si>
    <t xml:space="preserve">C03</t>
  </si>
  <si>
    <t xml:space="preserve">Quote win rate: rentals</t>
  </si>
  <si>
    <t xml:space="preserve">Share of rentals quotes marked won</t>
  </si>
  <si>
    <t xml:space="preserve">C04</t>
  </si>
  <si>
    <t xml:space="preserve">Days from quote to decision</t>
  </si>
  <si>
    <t xml:space="preserve">days</t>
  </si>
  <si>
    <t xml:space="preserve">S6</t>
  </si>
  <si>
    <t xml:space="preserve">Spread of decision_date minus quote_date</t>
  </si>
  <si>
    <t xml:space="preserve">C05</t>
  </si>
  <si>
    <t xml:space="preserve">PLANTED: win-rate drop when the decision takes over 45 days (percentage points)</t>
  </si>
  <si>
    <t xml:space="preserve">pp</t>
  </si>
  <si>
    <t xml:space="preserve">C</t>
  </si>
  <si>
    <t xml:space="preserve">Direction is supported by a vendor source. Size is ours.</t>
  </si>
  <si>
    <t xml:space="preserve">M01</t>
  </si>
  <si>
    <t xml:space="preserve">Margins</t>
  </si>
  <si>
    <t xml:space="preserve">Product margin on price</t>
  </si>
  <si>
    <t xml:space="preserve">Sourced range</t>
  </si>
  <si>
    <t xml:space="preserve">S1, S2, S3</t>
  </si>
  <si>
    <t xml:space="preserve">Spread of (price - cost) / price on sales lines. Note: markup is not margin.</t>
  </si>
  <si>
    <t xml:space="preserve">M02</t>
  </si>
  <si>
    <t xml:space="preserve">Labour share of project revenue</t>
  </si>
  <si>
    <t xml:space="preserve">S4, S5</t>
  </si>
  <si>
    <t xml:space="preserve">Share of job cost lines that are labour</t>
  </si>
  <si>
    <t xml:space="preserve">M03</t>
  </si>
  <si>
    <t xml:space="preserve">Quoted gross margin on projects</t>
  </si>
  <si>
    <t xml:space="preserve">S3</t>
  </si>
  <si>
    <t xml:space="preserve">Upper end is a vendor figure; central value is ours</t>
  </si>
  <si>
    <t xml:space="preserve">M04</t>
  </si>
  <si>
    <t xml:space="preserve">PLANTED: labour cost overrun on commissioning-heavy job types</t>
  </si>
  <si>
    <t xml:space="preserve">S1</t>
  </si>
  <si>
    <t xml:space="preserve">Direction supported by vendor source (commissioning is the biggest overrun). Size is ours.</t>
  </si>
  <si>
    <t xml:space="preserve">M05</t>
  </si>
  <si>
    <t xml:space="preserve">Labour cost overrun on other job types</t>
  </si>
  <si>
    <t xml:space="preserve">Normal noise on labour cost</t>
  </si>
  <si>
    <t xml:space="preserve">M06</t>
  </si>
  <si>
    <t xml:space="preserve">PLANTED: average actual margin of one loss-making job type</t>
  </si>
  <si>
    <t xml:space="preserve">One job type loses money on average</t>
  </si>
  <si>
    <t xml:space="preserve">M07</t>
  </si>
  <si>
    <t xml:space="preserve">Job value (KES, before VAT)</t>
  </si>
  <si>
    <t xml:space="preserve">KES</t>
  </si>
  <si>
    <t xml:space="preserve">PLACEHOLDER for realistic scale. Kenyan prices not verified.</t>
  </si>
  <si>
    <t xml:space="preserve">M08</t>
  </si>
  <si>
    <t xml:space="preserve">Product list price (KES)</t>
  </si>
  <si>
    <t xml:space="preserve">M09</t>
  </si>
  <si>
    <t xml:space="preserve">Rental daily rate (KES)</t>
  </si>
  <si>
    <t xml:space="preserve">R01</t>
  </si>
  <si>
    <t xml:space="preserve">Rentals</t>
  </si>
  <si>
    <t xml:space="preserve">Utilisation of event-type kit</t>
  </si>
  <si>
    <t xml:space="preserve">S7</t>
  </si>
  <si>
    <t xml:space="preserve">Share of available days on hire</t>
  </si>
  <si>
    <t xml:space="preserve">R02</t>
  </si>
  <si>
    <t xml:space="preserve">Utilisation of core fleet items</t>
  </si>
  <si>
    <t xml:space="preserve">S8</t>
  </si>
  <si>
    <t xml:space="preserve">R03</t>
  </si>
  <si>
    <t xml:space="preserve">PLANTED: share of fleet used under 10% of the time</t>
  </si>
  <si>
    <t xml:space="preserve">Idle assets with high repair cost</t>
  </si>
  <si>
    <t xml:space="preserve">R04</t>
  </si>
  <si>
    <t xml:space="preserve">Time lost to damage repairs</t>
  </si>
  <si>
    <t xml:space="preserve">S9</t>
  </si>
  <si>
    <t xml:space="preserve">Maintenance days as a share of available days</t>
  </si>
  <si>
    <t xml:space="preserve">R05</t>
  </si>
  <si>
    <t xml:space="preserve">Repair cost per damage event, as share of asset purchase cost</t>
  </si>
  <si>
    <t xml:space="preserve">Spread of maintenance cost_amount</t>
  </si>
  <si>
    <t xml:space="preserve">R06</t>
  </si>
  <si>
    <t xml:space="preserve">Seasonal peak vs quiet month (demand factor)</t>
  </si>
  <si>
    <t xml:space="preserve">UNKNOWN for Kenya. The only seasonal evidence found is for the UK. Mild seasonality used so we do not invent a pattern.</t>
  </si>
  <si>
    <t xml:space="preserve">UNKNOWN: proposed placeholder</t>
  </si>
  <si>
    <t xml:space="preserve">Bulk accepted as proposed by the owner (Option B), not reviewed row by row. Kenyan seasonality is still unknown.</t>
  </si>
  <si>
    <t xml:space="preserve">R07</t>
  </si>
  <si>
    <t xml:space="preserve">PLANTED: double-booked asset pairs</t>
  </si>
  <si>
    <t xml:space="preserve">Overlapping bookings of the same asset</t>
  </si>
  <si>
    <t xml:space="preserve">P01</t>
  </si>
  <si>
    <t xml:space="preserve">Cash</t>
  </si>
  <si>
    <t xml:space="preserve">Payment terms on invoices (days)</t>
  </si>
  <si>
    <t xml:space="preserve">S10</t>
  </si>
  <si>
    <t xml:space="preserve">Gap between invoice_date and due_date</t>
  </si>
  <si>
    <t xml:space="preserve">P02</t>
  </si>
  <si>
    <t xml:space="preserve">Days from invoice to payment: government</t>
  </si>
  <si>
    <t xml:space="preserve">S12</t>
  </si>
  <si>
    <t xml:space="preserve">Opinion piece about government paying suppliers; weak source</t>
  </si>
  <si>
    <t xml:space="preserve">P03</t>
  </si>
  <si>
    <t xml:space="preserve">Days from invoice to payment: corporate</t>
  </si>
  <si>
    <t xml:space="preserve">S11</t>
  </si>
  <si>
    <t xml:space="preserve">Vendor blog and judgement</t>
  </si>
  <si>
    <t xml:space="preserve">P04</t>
  </si>
  <si>
    <t xml:space="preserve">Days from invoice to payment: hospitality</t>
  </si>
  <si>
    <t xml:space="preserve">Vendor blog says 60 to 90 days late</t>
  </si>
  <si>
    <t xml:space="preserve">P05</t>
  </si>
  <si>
    <t xml:space="preserve">Days from invoice to payment: other sectors</t>
  </si>
  <si>
    <t xml:space="preserve">S10, S11</t>
  </si>
  <si>
    <t xml:space="preserve">Judgement</t>
  </si>
  <si>
    <t xml:space="preserve">P06</t>
  </si>
  <si>
    <t xml:space="preserve">Target outcome: share of invoices paid over 30 days after invoice</t>
  </si>
  <si>
    <t xml:space="preserve">Check on the generated result, not an input. Source gives over 60% of SMEs with delays over 30 days; its origin is unclear.</t>
  </si>
  <si>
    <t xml:space="preserve">P07</t>
  </si>
  <si>
    <t xml:space="preserve">PLANTED: habitual late payers (customers)</t>
  </si>
  <si>
    <t xml:space="preserve">Always pay 60 or more days after the due date</t>
  </si>
  <si>
    <t xml:space="preserve">P08</t>
  </si>
  <si>
    <t xml:space="preserve">Share of invoices paid in parts</t>
  </si>
  <si>
    <t xml:space="preserve">Invoices with more than one allocation</t>
  </si>
  <si>
    <t xml:space="preserve">P09</t>
  </si>
  <si>
    <t xml:space="preserve">Share of payments that cover several invoices</t>
  </si>
  <si>
    <t xml:space="preserve">Payments with more than one allocation</t>
  </si>
  <si>
    <t xml:space="preserve">P10</t>
  </si>
  <si>
    <t xml:space="preserve">Invoices per job (progress billing)</t>
  </si>
  <si>
    <t xml:space="preserve">Invoices per project job</t>
  </si>
  <si>
    <t xml:space="preserve">P11</t>
  </si>
  <si>
    <t xml:space="preserve">VAT rate</t>
  </si>
  <si>
    <t xml:space="preserve">Sourced</t>
  </si>
  <si>
    <t xml:space="preserve">S14</t>
  </si>
  <si>
    <t xml:space="preserve">A</t>
  </si>
  <si>
    <t xml:space="preserve">KRA leaflet says 16% general rate (2023/24 edition). A 2026 Finance Act reportedly changed some VAT rules; not reviewed.</t>
  </si>
  <si>
    <t xml:space="preserve">VERIFY BEFORE USE</t>
  </si>
  <si>
    <t xml:space="preserve">Bulk accepted as proposed by the owner (Option B), not reviewed row by row. VAT rate must still be verified before use.</t>
  </si>
  <si>
    <t xml:space="preserve">S01</t>
  </si>
  <si>
    <t xml:space="preserve">Stock</t>
  </si>
  <si>
    <t xml:space="preserve">PLANTED: products with no sale for 12 months or more</t>
  </si>
  <si>
    <t xml:space="preserve">Dead stock</t>
  </si>
  <si>
    <t xml:space="preserve">D01</t>
  </si>
  <si>
    <t xml:space="preserve">Planted data errors</t>
  </si>
  <si>
    <t xml:space="preserve">PLANTED: duplicate invoice pairs</t>
  </si>
  <si>
    <t xml:space="preserve">Same job, amount and date, different invoice number</t>
  </si>
  <si>
    <t xml:space="preserve">D02</t>
  </si>
  <si>
    <t xml:space="preserve">PLANTED: customer name variants (case or spacing)</t>
  </si>
  <si>
    <t xml:space="preserve">Same customer spelled two ways</t>
  </si>
  <si>
    <t xml:space="preserve">D03</t>
  </si>
  <si>
    <t xml:space="preserve">PLANTED: allocations larger than the payment</t>
  </si>
  <si>
    <t xml:space="preserve">Allocated amount above payment amount</t>
  </si>
  <si>
    <t xml:space="preserve">D04</t>
  </si>
  <si>
    <t xml:space="preserve">PLANTED: invoices with due date before invoice date</t>
  </si>
  <si>
    <t xml:space="preserve">Date entry errors</t>
  </si>
  <si>
    <t xml:space="preserve">D05</t>
  </si>
  <si>
    <t xml:space="preserve">PLANTED: customers with a missing sector</t>
  </si>
  <si>
    <t xml:space="preserve">Blank sector in raw</t>
  </si>
  <si>
    <t xml:space="preserve">SM1</t>
  </si>
  <si>
    <t xml:space="preserve">Stage 6 additions</t>
  </si>
  <si>
    <t xml:space="preserve">Customer share: Hospitality</t>
  </si>
  <si>
    <t xml:space="preserve">Share of customers in this sector (generator uses running totals)</t>
  </si>
  <si>
    <t xml:space="preserve">ACCEPTED (added Stage 6)</t>
  </si>
  <si>
    <t xml:space="preserve">Added at Stage 6; covered by the owner's 'use the proposed numbers' choice. Say so if you want to change it.</t>
  </si>
  <si>
    <t xml:space="preserve">SM2</t>
  </si>
  <si>
    <t xml:space="preserve">Customer share: Corporate</t>
  </si>
  <si>
    <t xml:space="preserve">Share of customers in this sector</t>
  </si>
  <si>
    <t xml:space="preserve">SM3</t>
  </si>
  <si>
    <t xml:space="preserve">Customer share: Education</t>
  </si>
  <si>
    <t xml:space="preserve">SM4</t>
  </si>
  <si>
    <t xml:space="preserve">Customer share: Government</t>
  </si>
  <si>
    <t xml:space="preserve">SM5</t>
  </si>
  <si>
    <t xml:space="preserve">Customer share: Non-profit</t>
  </si>
  <si>
    <t xml:space="preserve">SM6</t>
  </si>
  <si>
    <t xml:space="preserve">Customer share: Events and media</t>
  </si>
  <si>
    <t xml:space="preserve">SM7</t>
  </si>
  <si>
    <t xml:space="preserve">Customer share: Healthcare</t>
  </si>
  <si>
    <t xml:space="preserve">Share of customers in this sector. The seven shares must add up to 100%.</t>
  </si>
  <si>
    <t xml:space="preserve">PT1</t>
  </si>
  <si>
    <t xml:space="preserve">Share of customers on 14-day payment terms</t>
  </si>
  <si>
    <t xml:space="preserve">Sets customer payment_terms_days</t>
  </si>
  <si>
    <t xml:space="preserve">PT2</t>
  </si>
  <si>
    <t xml:space="preserve">Share of customers on 30-day payment terms</t>
  </si>
  <si>
    <t xml:space="preserve">PT3</t>
  </si>
  <si>
    <t xml:space="preserve">Share of customers on 60-day payment terms</t>
  </si>
  <si>
    <t xml:space="preserve">Sets customer payment_terms_days. PT1 + PT2 + PT3 must add up to 100%.</t>
  </si>
  <si>
    <t xml:space="preserve">G14</t>
  </si>
  <si>
    <t xml:space="preserve">Supplier countries</t>
  </si>
  <si>
    <t xml:space="preserve">China, Germany, USA, Japan, Kenya, UAE, South Africa, UK (taken in turn)</t>
  </si>
  <si>
    <t xml:space="preserve">Country column on supplier</t>
  </si>
  <si>
    <t xml:space="preserve">G15</t>
  </si>
  <si>
    <t xml:space="preserve">Customer first-trade dates</t>
  </si>
  <si>
    <t xml:space="preserve">Random dates from 2019-01-01 to 2026-06-30</t>
  </si>
  <si>
    <t xml:space="preserve">created_date on customer</t>
  </si>
  <si>
    <t xml:space="preserve">G16</t>
  </si>
  <si>
    <t xml:space="preserve">Customer activity weights</t>
  </si>
  <si>
    <t xml:space="preserve">Skewed: a few customers give most of the business</t>
  </si>
  <si>
    <t xml:space="preserve">Used later to decide how many jobs, orders and bookings each customer gets</t>
  </si>
  <si>
    <t xml:space="preserve">G17</t>
  </si>
  <si>
    <t xml:space="preserve">Fictional names</t>
  </si>
  <si>
    <t xml:space="preserve">Built from word lists. Any match with a real organisation is coincidence</t>
  </si>
  <si>
    <t xml:space="preserve">Customer and supplier names</t>
  </si>
  <si>
    <t xml:space="preserve">R08</t>
  </si>
  <si>
    <t xml:space="preserve">Stage 7 additions</t>
  </si>
  <si>
    <t xml:space="preserve">Asset purchase cost as a multiple of its daily rate</t>
  </si>
  <si>
    <t xml:space="preserve">purchase_cost on asset. PLACEHOLDER: Kenyan prices not verified.</t>
  </si>
  <si>
    <t xml:space="preserve">ACCEPTED (added Stage 7)</t>
  </si>
  <si>
    <t xml:space="preserve">Added at Stage 7; covered by the owner's 'use the proposed numbers' choice. Say so if you want to change it.</t>
  </si>
  <si>
    <t xml:space="preserve">R09</t>
  </si>
  <si>
    <t xml:space="preserve">Share of the fleet retired</t>
  </si>
  <si>
    <t xml:space="preserve">Assets with status retired and a retired_date</t>
  </si>
  <si>
    <t xml:space="preserve">R10</t>
  </si>
  <si>
    <t xml:space="preserve">Share of the fleet in repair at the as-of date</t>
  </si>
  <si>
    <t xml:space="preserve">Assets with status in_repair</t>
  </si>
  <si>
    <t xml:space="preserve">G18</t>
  </si>
  <si>
    <t xml:space="preserve">Spread across categories</t>
  </si>
  <si>
    <t xml:space="preserve">Products and assets are shared out evenly across their categories</t>
  </si>
  <si>
    <t xml:space="preserve">Category on product and asset</t>
  </si>
  <si>
    <t xml:space="preserve">G19</t>
  </si>
  <si>
    <t xml:space="preserve">Asset purchase dates</t>
  </si>
  <si>
    <t xml:space="preserve">Random dates from 2018-01-01 to 2026-03-31</t>
  </si>
  <si>
    <t xml:space="preserve">purchase_date on asset</t>
  </si>
  <si>
    <t xml:space="preserve">G20</t>
  </si>
  <si>
    <t xml:space="preserve">Product names</t>
  </si>
  <si>
    <t xml:space="preserve">Supplier brand word + model number + product type</t>
  </si>
  <si>
    <t xml:space="preserve">product_name</t>
  </si>
  <si>
    <t xml:space="preserve">G21</t>
  </si>
  <si>
    <t xml:space="preserve">Prices and rates</t>
  </si>
  <si>
    <t xml:space="preserve">Spread evenly on a log scale between each category's low and high (sheet Price_bands). Product margins and asset purchase multiples sit around their central value</t>
  </si>
  <si>
    <t xml:space="preserve">list_price, daily rate, standard_cost, purchase_cost</t>
  </si>
  <si>
    <t xml:space="preserve">C06</t>
  </si>
  <si>
    <t xml:space="preserve">Stage 8 additions</t>
  </si>
  <si>
    <t xml:space="preserve">Share of non-won quotes that expire with no answer</t>
  </si>
  <si>
    <t xml:space="preserve">Quotes with status expired and no decision date</t>
  </si>
  <si>
    <t xml:space="preserve">ACCEPTED (added Stage 8)</t>
  </si>
  <si>
    <t xml:space="preserve">Added at Stage 8; covered by the owner's 'use the proposed numbers' choice. Say so if you want to change it.</t>
  </si>
  <si>
    <t xml:space="preserve">OF1</t>
  </si>
  <si>
    <t xml:space="preserve">Share of quotes and jobs handled by the Nairobi office (rest: Mombasa)</t>
  </si>
  <si>
    <t xml:space="preserve">office_name on quotes, jobs, orders and bookings</t>
  </si>
  <si>
    <t xml:space="preserve">D06</t>
  </si>
  <si>
    <t xml:space="preserve">Share of a duplicated customer's records that use the duplicate code</t>
  </si>
  <si>
    <t xml:space="preserve">Makes the duplicate customers matter: some quotes and jobs point to the duplicate code</t>
  </si>
  <si>
    <t xml:space="preserve">M10</t>
  </si>
  <si>
    <t xml:space="preserve">Cost noise on equipment, subcontractor and transport</t>
  </si>
  <si>
    <t xml:space="preserve">Actual cost against quoted cost, ordinary jobs</t>
  </si>
  <si>
    <t xml:space="preserve">CM1</t>
  </si>
  <si>
    <t xml:space="preserve">Share of a job's quoted cost: Equipment</t>
  </si>
  <si>
    <t xml:space="preserve">S4</t>
  </si>
  <si>
    <t xml:space="preserve">The five shares CM1 to CM5 must add up to 100%. Labour (CM2 + CM3) is 46% of cost, about 30% of price at a 35% margin, matching M02</t>
  </si>
  <si>
    <t xml:space="preserve">CM2</t>
  </si>
  <si>
    <t xml:space="preserve">Share of a job's quoted cost: Installation labour</t>
  </si>
  <si>
    <t xml:space="preserve">As above</t>
  </si>
  <si>
    <t xml:space="preserve">CM3</t>
  </si>
  <si>
    <t xml:space="preserve">Share of a job's quoted cost: Programming and commissioning labour</t>
  </si>
  <si>
    <t xml:space="preserve">As above. Commissioning is where estimates go wrong most (S1)</t>
  </si>
  <si>
    <t xml:space="preserve">CM4</t>
  </si>
  <si>
    <t xml:space="preserve">Share of a job's quoted cost: Subcontractor</t>
  </si>
  <si>
    <t xml:space="preserve">CM5</t>
  </si>
  <si>
    <t xml:space="preserve">Share of a job's quoted cost: Transport and logistics</t>
  </si>
  <si>
    <t xml:space="preserve">L01</t>
  </si>
  <si>
    <t xml:space="preserve">Installation labour rate (KES per hour)</t>
  </si>
  <si>
    <t xml:space="preserve">unit_cost on installation labour lines. PLACEHOLDER: Kenyan rates not verified.</t>
  </si>
  <si>
    <t xml:space="preserve">L02</t>
  </si>
  <si>
    <t xml:space="preserve">Programming and commissioning labour rate (KES per hour)</t>
  </si>
  <si>
    <t xml:space="preserve">unit_cost on commissioning labour lines. PLACEHOLDER: Kenyan rates not verified.</t>
  </si>
  <si>
    <t xml:space="preserve">G22</t>
  </si>
  <si>
    <t xml:space="preserve">Commissioning-heavy job types</t>
  </si>
  <si>
    <t xml:space="preserve">Control room installation; Smart office and automation</t>
  </si>
  <si>
    <t xml:space="preserve">These get the labour overrun M04 on commissioning labour (planted problem X06)</t>
  </si>
  <si>
    <t xml:space="preserve">G23</t>
  </si>
  <si>
    <t xml:space="preserve">Loss-making job type</t>
  </si>
  <si>
    <t xml:space="preserve">Auditorium and hall fit-out</t>
  </si>
  <si>
    <t xml:space="preserve">Average margin set by M06 (planted problem X07)</t>
  </si>
  <si>
    <t xml:space="preserve">G24</t>
  </si>
  <si>
    <t xml:space="preserve">Job value scale factor by job type (multiplies the M07 spread)</t>
  </si>
  <si>
    <t xml:space="preserve">Maintenance 0.3; Public address 0.5; Conference room 0.6; Stage lighting 0.8; Video wall 1.0; Smart office 1.0; Control room 2.0; Auditorium 2.5</t>
  </si>
  <si>
    <t xml:space="preserve">So a maintenance contract is not as big as an auditorium fit-out. Values are clipped to the M07 range</t>
  </si>
  <si>
    <t xml:space="preserve">G25</t>
  </si>
  <si>
    <t xml:space="preserve">Quote dates</t>
  </si>
  <si>
    <t xml:space="preserve">Spread evenly from 2023-10-01 to 2026-09-30</t>
  </si>
  <si>
    <t xml:space="preserve">quote_date. Quotes decided after the as-of date stay open</t>
  </si>
  <si>
    <t xml:space="preserve">G26</t>
  </si>
  <si>
    <t xml:space="preserve">Job timing</t>
  </si>
  <si>
    <t xml:space="preserve">Starts 0 to 30 days after the decision; lasts about 7 to 72 days, longer for bigger jobs; no cancelled jobs</t>
  </si>
  <si>
    <t xml:space="preserve">start_date and end_date. Jobs not finished by the as-of date are in_progress</t>
  </si>
  <si>
    <t xml:space="preserve">G27</t>
  </si>
  <si>
    <t xml:space="preserve">How the quote decision time is spread (shape)</t>
  </si>
  <si>
    <t xml:space="preserve">Days from quote to decision = low + (high - low) x (random number to the power 4). The mean matches the C04 central value</t>
  </si>
  <si>
    <t xml:space="preserve">Most quotes are decided quickly, a few take long</t>
  </si>
  <si>
    <t xml:space="preserve">V01</t>
  </si>
  <si>
    <t xml:space="preserve">Stage 9 additions</t>
  </si>
  <si>
    <t xml:space="preserve">Product sales orders over the window</t>
  </si>
  <si>
    <t xml:space="preserve">Rows in sales_order. Includes orders that come from quotes and orders with no quote</t>
  </si>
  <si>
    <t xml:space="preserve">ACCEPTED (added Stage 9)</t>
  </si>
  <si>
    <t xml:space="preserve">Added at Stage 9; covered by the owner's 'use the proposed numbers' choice. Say so if you want to change it.</t>
  </si>
  <si>
    <t xml:space="preserve">V02</t>
  </si>
  <si>
    <t xml:space="preserve">Share of sales orders that come from a quote (the rest are counter or walk-in sales)</t>
  </si>
  <si>
    <t xml:space="preserve">Sets how many products quotes are created: orders from quotes divided by the win rate C02</t>
  </si>
  <si>
    <t xml:space="preserve">V03</t>
  </si>
  <si>
    <t xml:space="preserve">Stock adjustments over the window (count, damage or count differences)</t>
  </si>
  <si>
    <t xml:space="preserve">stock_movement rows of type adjustment</t>
  </si>
  <si>
    <t xml:space="preserve">V05</t>
  </si>
  <si>
    <t xml:space="preserve">Discount given on product sales (share off list price)</t>
  </si>
  <si>
    <t xml:space="preserve">unit_price = list price x (1 - discount). Most discounts are small, a few are large (the draw is squared)</t>
  </si>
  <si>
    <t xml:space="preserve">V06</t>
  </si>
  <si>
    <t xml:space="preserve">Stock bought each quarter as a multiple of that quarter's sales</t>
  </si>
  <si>
    <t xml:space="preserve">Purchase quantity = quarter's sales x this + 5 units. Keeps stock from running out</t>
  </si>
  <si>
    <t xml:space="preserve">G28</t>
  </si>
  <si>
    <t xml:space="preserve">Stock buying pattern</t>
  </si>
  <si>
    <t xml:space="preserve">One purchase per product per quarter (a few days before the quarter starts), plus 5 spare units. Dead-stock products also get one big extra purchase between 2025-04-01 and 2025-09-15</t>
  </si>
  <si>
    <t xml:space="preserve">stock_movement purchases</t>
  </si>
  <si>
    <t xml:space="preserve">G29</t>
  </si>
  <si>
    <t xml:space="preserve">Dead-stock rule</t>
  </si>
  <si>
    <t xml:space="preserve">Dead-stock products have no sales orders after 2025-09-27 (12 months before the as-of date, with a few days of room for delivery)</t>
  </si>
  <si>
    <t xml:space="preserve">Planted problem X11</t>
  </si>
  <si>
    <t xml:space="preserve">G30</t>
  </si>
  <si>
    <t xml:space="preserve">Largest quantity per order line, by category</t>
  </si>
  <si>
    <t xml:space="preserve">Cables 40; Lighting 12; Control 10; Microphones 8; Loudspeakers 8; Displays 6; Video conferencing 4; Mixers 3. Most lines are small</t>
  </si>
  <si>
    <t xml:space="preserve">quantity on sales_order_line</t>
  </si>
  <si>
    <t xml:space="preserve">G31</t>
  </si>
  <si>
    <t xml:space="preserve">Sales order timing and size</t>
  </si>
  <si>
    <t xml:space="preserve">1 to 4 product lines per order. Stock leaves 0 to 2 days after the order date. Orders in the last 7 days are still open. No cancelled orders</t>
  </si>
  <si>
    <t xml:space="preserve">sales_order and stock_movement dates</t>
  </si>
  <si>
    <t xml:space="preserve">I01</t>
  </si>
  <si>
    <t xml:space="preserve">Stage 10 additions</t>
  </si>
  <si>
    <t xml:space="preserve">PLANTED: utilisation of the idle assets (share of available days on hire)</t>
  </si>
  <si>
    <t xml:space="preserve">The assets marked idle in Stage 7. Must stay under 10%</t>
  </si>
  <si>
    <t xml:space="preserve">ACCEPTED (added Stage 10)</t>
  </si>
  <si>
    <t xml:space="preserve">Added at Stage 10; covered by the owner's 'use the proposed numbers' choice. Say so if you want to change it.</t>
  </si>
  <si>
    <t xml:space="preserve">R13</t>
  </si>
  <si>
    <t xml:space="preserve">PLANTED: repair-prone assets have damage this many times more often</t>
  </si>
  <si>
    <t xml:space="preserve">Multiplies the time lost to repairs (R04) for the idle, repair-prone assets</t>
  </si>
  <si>
    <t xml:space="preserve">R14</t>
  </si>
  <si>
    <t xml:space="preserve">PLANTED: repair-prone assets cost this many times more per repair</t>
  </si>
  <si>
    <t xml:space="preserve">Multiplies the repair cost (R05) for the idle, repair-prone assets</t>
  </si>
  <si>
    <t xml:space="preserve">R15</t>
  </si>
  <si>
    <t xml:space="preserve">Discount on rental rates (share off the rate card)</t>
  </si>
  <si>
    <t xml:space="preserve">One discount per booking. Most are small, a few large (the draw is squared)</t>
  </si>
  <si>
    <t xml:space="preserve">G32</t>
  </si>
  <si>
    <t xml:space="preserve">How rentals are built</t>
  </si>
  <si>
    <t xml:space="preserve">Each asset gets its own non-overlapping run of rentals, sized to hit its utilisation target. Rentals of different assets that start on the same day and last the same time are grouped into one booking</t>
  </si>
  <si>
    <t xml:space="preserve">Gives exact utilisation without double-bookings (except the planted ones)</t>
  </si>
  <si>
    <t xml:space="preserve">G33</t>
  </si>
  <si>
    <t xml:space="preserve">Rental length in days</t>
  </si>
  <si>
    <t xml:space="preserve">1 (20%), 2 (25%), 3 (20%), 4 (12%), 5 (10%), 7 (8%), 10 (5%). Mean 3.34 days</t>
  </si>
  <si>
    <t xml:space="preserve">rental_booking start_date and end_date</t>
  </si>
  <si>
    <t xml:space="preserve">G34</t>
  </si>
  <si>
    <t xml:space="preserve">Utilisation target per asset</t>
  </si>
  <si>
    <t xml:space="preserve">A random value inside the register range for its group: event kit R01, core fleet R02, idle assets I01</t>
  </si>
  <si>
    <t xml:space="preserve">S7, S8</t>
  </si>
  <si>
    <t xml:space="preserve">Group averages therefore sit at the central values</t>
  </si>
  <si>
    <t xml:space="preserve">G35</t>
  </si>
  <si>
    <t xml:space="preserve">Repairs</t>
  </si>
  <si>
    <t xml:space="preserve">Damage is found when a rental ends, and the asset is then out of service for 2 to 10 days. One routine service a year (no downtime). Assets marked in_repair have a 30-day repair running at the as-of date</t>
  </si>
  <si>
    <t xml:space="preserve">maintenance_event rows</t>
  </si>
  <si>
    <t xml:space="preserve">G36</t>
  </si>
  <si>
    <t xml:space="preserve">What is not modelled in rentals</t>
  </si>
  <si>
    <t xml:space="preserve">No seasonality (R06 is not used), no cancelled or future bookings, no deposits. Every booking is completed</t>
  </si>
  <si>
    <t xml:space="preserve">Known limitations</t>
  </si>
  <si>
    <t xml:space="preserve">Price bands per category (KES, before VAT)</t>
  </si>
  <si>
    <t xml:space="preserve">PLACEHOLDERS for realistic scale. Not Kenyan market prices; I cannot verify those. Product bands sit inside parameter M08, asset bands inside M09.</t>
  </si>
  <si>
    <t xml:space="preserve">Item type</t>
  </si>
  <si>
    <t xml:space="preserve">Category</t>
  </si>
  <si>
    <t xml:space="preserve">Low (KES)</t>
  </si>
  <si>
    <t xml:space="preserve">High (KES)</t>
  </si>
  <si>
    <t xml:space="preserve">Product</t>
  </si>
  <si>
    <t xml:space="preserve">Microphones</t>
  </si>
  <si>
    <t xml:space="preserve">Added at Stage 7; covered by the owner's 'use the proposed numbers' choice.</t>
  </si>
  <si>
    <t xml:space="preserve">Loudspeakers and amplifiers</t>
  </si>
  <si>
    <t xml:space="preserve">Mixers and processors</t>
  </si>
  <si>
    <t xml:space="preserve">Displays and projectors</t>
  </si>
  <si>
    <t xml:space="preserve">Video conferencing</t>
  </si>
  <si>
    <t xml:space="preserve">Cables and connectors</t>
  </si>
  <si>
    <t xml:space="preserve">Lighting fixtures</t>
  </si>
  <si>
    <t xml:space="preserve">Control and automation devices</t>
  </si>
  <si>
    <t xml:space="preserve">Asset (daily rate)</t>
  </si>
  <si>
    <t xml:space="preserve">Conference audio</t>
  </si>
  <si>
    <t xml:space="preserve">Sound reinforcement</t>
  </si>
  <si>
    <t xml:space="preserve">Projection and screens</t>
  </si>
  <si>
    <t xml:space="preserve">Stage lighting</t>
  </si>
  <si>
    <t xml:space="preserve">LED displays</t>
  </si>
  <si>
    <t xml:space="preserve">Video and streaming</t>
  </si>
  <si>
    <t xml:space="preserve">Planted problems (ground truth)</t>
  </si>
  <si>
    <t xml:space="preserve">We put these in the synthetic data on purpose. If our checks and analysis do not find them, we report which ones were missed. Quantities link to the Parameters sheet.</t>
  </si>
  <si>
    <t xml:space="preserve">Planted problem</t>
  </si>
  <si>
    <t xml:space="preserve">Where it is planted</t>
  </si>
  <si>
    <t xml:space="preserve">Quantity or size (from Parameters)</t>
  </si>
  <si>
    <t xml:space="preserve">Linked parameter</t>
  </si>
  <si>
    <t xml:space="preserve">How it should be found</t>
  </si>
  <si>
    <t xml:space="preserve">Layer expected to catch it</t>
  </si>
  <si>
    <t xml:space="preserve">X01</t>
  </si>
  <si>
    <t xml:space="preserve">Duplicate invoices (same job, amount, date; different number)</t>
  </si>
  <si>
    <t xml:space="preserve">raw.invoice</t>
  </si>
  <si>
    <t xml:space="preserve">Duplicate rule in staging; 'suspicious invoices' query</t>
  </si>
  <si>
    <t xml:space="preserve">Staging</t>
  </si>
  <si>
    <t xml:space="preserve">X02</t>
  </si>
  <si>
    <t xml:space="preserve">Customer name variants (case or spacing)</t>
  </si>
  <si>
    <t xml:space="preserve">raw.customer</t>
  </si>
  <si>
    <t xml:space="preserve">Name-cleaning rule in staging</t>
  </si>
  <si>
    <t xml:space="preserve">X03</t>
  </si>
  <si>
    <t xml:space="preserve">Payment allocations larger than the payment</t>
  </si>
  <si>
    <t xml:space="preserve">raw.payment_allocation</t>
  </si>
  <si>
    <t xml:space="preserve">Staging rejects and logs; core test</t>
  </si>
  <si>
    <t xml:space="preserve">Staging and test</t>
  </si>
  <si>
    <t xml:space="preserve">X04</t>
  </si>
  <si>
    <t xml:space="preserve">Invoices with due date before invoice date</t>
  </si>
  <si>
    <t xml:space="preserve">Staging rejects and logs (core CHECK would also block)</t>
  </si>
  <si>
    <t xml:space="preserve">X05</t>
  </si>
  <si>
    <t xml:space="preserve">Customers with a missing sector</t>
  </si>
  <si>
    <t xml:space="preserve">Staging rule: label as unknown and log</t>
  </si>
  <si>
    <t xml:space="preserve">X06</t>
  </si>
  <si>
    <t xml:space="preserve">Labour overrun on commissioning-heavy job types</t>
  </si>
  <si>
    <t xml:space="preserve">raw.job_cost_line</t>
  </si>
  <si>
    <t xml:space="preserve">Margin variance by job type</t>
  </si>
  <si>
    <t xml:space="preserve">Analysis</t>
  </si>
  <si>
    <t xml:space="preserve">X07</t>
  </si>
  <si>
    <t xml:space="preserve">One job type that loses money on average</t>
  </si>
  <si>
    <t xml:space="preserve">raw.job and job_cost_line</t>
  </si>
  <si>
    <t xml:space="preserve">Margin by job type</t>
  </si>
  <si>
    <t xml:space="preserve">X08</t>
  </si>
  <si>
    <t xml:space="preserve">Habitual late payers</t>
  </si>
  <si>
    <t xml:space="preserve">raw.payment</t>
  </si>
  <si>
    <t xml:space="preserve">Days to collect over time; ageing</t>
  </si>
  <si>
    <t xml:space="preserve">X09</t>
  </si>
  <si>
    <t xml:space="preserve">Double-booked assets</t>
  </si>
  <si>
    <t xml:space="preserve">raw.rental_booking_line</t>
  </si>
  <si>
    <t xml:space="preserve">Overlapping-bookings query</t>
  </si>
  <si>
    <t xml:space="preserve">X10</t>
  </si>
  <si>
    <t xml:space="preserve">raw.asset, bookings, maintenance</t>
  </si>
  <si>
    <t xml:space="preserve">Utilisation and repair-to-income ratio</t>
  </si>
  <si>
    <t xml:space="preserve">X11</t>
  </si>
  <si>
    <t xml:space="preserve">Products with no sale for 12 months or more</t>
  </si>
  <si>
    <t xml:space="preserve">raw.product and stock_movement</t>
  </si>
  <si>
    <t xml:space="preserve">Days since last sale</t>
  </si>
  <si>
    <t xml:space="preserve">X12</t>
  </si>
  <si>
    <t xml:space="preserve">Quotes decided late win less often</t>
  </si>
  <si>
    <t xml:space="preserve">raw.quote</t>
  </si>
  <si>
    <t xml:space="preserve">Win rate by decision lag</t>
  </si>
  <si>
    <t xml:space="preserve">Sources used (accessed 2026-10-10)</t>
  </si>
  <si>
    <t xml:space="preserve">Source</t>
  </si>
  <si>
    <t xml:space="preserve">URL</t>
  </si>
  <si>
    <t xml:space="preserve">Type</t>
  </si>
  <si>
    <t xml:space="preserve">Grade</t>
  </si>
  <si>
    <t xml:space="preserve">Used for</t>
  </si>
  <si>
    <t xml:space="preserve">Limits</t>
  </si>
  <si>
    <t xml:space="preserve">Zigaflow: how to quote an AV systems integration project</t>
  </si>
  <si>
    <t xml:space="preserve">https://www.zigaflow.com/resources/guides/how-to-quote-an-av-systems-integration-project</t>
  </si>
  <si>
    <t xml:space="preserve">Vendor guide</t>
  </si>
  <si>
    <t xml:space="preserve">Hardware margin spread; labour under-estimated at quote stage</t>
  </si>
  <si>
    <t xml:space="preserve">Vendor selling software; mostly US and UK</t>
  </si>
  <si>
    <t xml:space="preserve">S2</t>
  </si>
  <si>
    <t xml:space="preserve">Zigaflow: where AV integrators lose margin</t>
  </si>
  <si>
    <t xml:space="preserve">https://zigaflow.com/insights/where-av-system-integrators-lose-margin</t>
  </si>
  <si>
    <t xml:space="preserve">Vendor article</t>
  </si>
  <si>
    <t xml:space="preserve">Low end of hardware margin (about 6%)</t>
  </si>
  <si>
    <t xml:space="preserve">Vendor; no Kenyan data</t>
  </si>
  <si>
    <t xml:space="preserve">D-Tools: equipment and labour profit margins</t>
  </si>
  <si>
    <t xml:space="preserve">https://www.d-tools.com/resource-center/industry-insights/how-do-your-equipment-labor-profit-margins-stack-up</t>
  </si>
  <si>
    <t xml:space="preserve">Vendor data summary</t>
  </si>
  <si>
    <t xml:space="preserve">Project margin upper end (48% across sectors)</t>
  </si>
  <si>
    <t xml:space="preserve">Customers of one software product; 'margin' not defined</t>
  </si>
  <si>
    <t xml:space="preserve">CEPro: 43 metrics for the A/V industry (2018)</t>
  </si>
  <si>
    <t xml:space="preserve">https://www.cepro.com/news/av_installer_measure_business/5000/</t>
  </si>
  <si>
    <t xml:space="preserve">Trade magazine</t>
  </si>
  <si>
    <t xml:space="preserve">Labour about 35% of revenue</t>
  </si>
  <si>
    <t xml:space="preserve">2018; opinion of one interviewee</t>
  </si>
  <si>
    <t xml:space="preserve">NSCA: financial leadership metrics</t>
  </si>
  <si>
    <t xml:space="preserve">https://www.nsca.org/?p=15902</t>
  </si>
  <si>
    <t xml:space="preserve">Trade body article</t>
  </si>
  <si>
    <t xml:space="preserve">Median close rate; labour share range</t>
  </si>
  <si>
    <t xml:space="preserve">The article warns many firms do not record lost proposals, so close rates are probably too high</t>
  </si>
  <si>
    <t xml:space="preserve">D-Tools: faster proposals and close rate</t>
  </si>
  <si>
    <t xml:space="preserve">https://d-tools.tourial.com/answers/faster-proposal-turnaround-time-results-in-higher-close-rate</t>
  </si>
  <si>
    <t xml:space="preserve">Direction: slow proposals win less</t>
  </si>
  <si>
    <t xml:space="preserve">Shows a link, not a cause</t>
  </si>
  <si>
    <t xml:space="preserve">Reservety: equipment utilization calculator</t>
  </si>
  <si>
    <t xml:space="preserve">https://reservety.com/tools/cross-industry/equipment-utilization-calculator.html</t>
  </si>
  <si>
    <t xml:space="preserve">Vendor tool page</t>
  </si>
  <si>
    <t xml:space="preserve">Party and event rental utilisation 30% to 50%</t>
  </si>
  <si>
    <t xml:space="preserve">Vendor; not AV or Kenya specific</t>
  </si>
  <si>
    <t xml:space="preserve">Zigaflow: utilization rate glossary</t>
  </si>
  <si>
    <t xml:space="preserve">https://zigaflow.com/resources/glossary/utilization-rate</t>
  </si>
  <si>
    <t xml:space="preserve">Vendor glossary</t>
  </si>
  <si>
    <t xml:space="preserve">General rental target 65% to 75%</t>
  </si>
  <si>
    <t xml:space="preserve">Vendor; cites another vendor</t>
  </si>
  <si>
    <t xml:space="preserve">Quipli: rental utilization calculator and guide</t>
  </si>
  <si>
    <t xml:space="preserve">https://quipli.com/resources/calculators/general-and-heavy-equipment-rental-utilization/</t>
  </si>
  <si>
    <t xml:space="preserve">Damage repairs about 3% to 5% of time</t>
  </si>
  <si>
    <t xml:space="preserve">Vendor; general rental, not AV</t>
  </si>
  <si>
    <t xml:space="preserve">Strathmore Business School: Kenyan SMEs and delayed payments (2025)</t>
  </si>
  <si>
    <t xml:space="preserve">https://sbs.strathmore.edu/strategies-for-kenyan-smes-to-overcome-delayed-payments-and-maintain-profitability/</t>
  </si>
  <si>
    <t xml:space="preserve">University blog post</t>
  </si>
  <si>
    <t xml:space="preserve">Over 60% of Kenyan SMEs see delays over 30 days; example payment terms</t>
  </si>
  <si>
    <t xml:space="preserve">Origin of the statistic is not given</t>
  </si>
  <si>
    <t xml:space="preserve">IntaSend: why delayed payments hurt small businesses</t>
  </si>
  <si>
    <t xml:space="preserve">https://intasend.com/payments/delayed-payments-why-they-kill-small-businesses</t>
  </si>
  <si>
    <t xml:space="preserve">Vendor blog</t>
  </si>
  <si>
    <t xml:space="preserve">Net 30 often becomes 60 to 90 days; hospitality pays late</t>
  </si>
  <si>
    <t xml:space="preserve">Sells payment services</t>
  </si>
  <si>
    <t xml:space="preserve">Opinion column on timely payment to suppliers (as listed in search results)</t>
  </si>
  <si>
    <t xml:space="preserve">https://www.mwanaspoti.co.tz/bd/opinion-analysis/columnists/why-timely-payments-to-suppliers-could-unlock-growth-of-smes-5347080</t>
  </si>
  <si>
    <t xml:space="preserve">Newspaper opinion</t>
  </si>
  <si>
    <t xml:space="preserve">Government payment delays of 90 to 180 days</t>
  </si>
  <si>
    <t xml:space="preserve">Opinion; page appears to be a mirror of a Nation Media Group column</t>
  </si>
  <si>
    <t xml:space="preserve">S13</t>
  </si>
  <si>
    <t xml:space="preserve">Business Daily: Kenya among painful nations for suppliers (Duplo report)</t>
  </si>
  <si>
    <t xml:space="preserve">https://www.businessdailyafrica.com/bd/economy/why-kenya-is-among-painful-nations-for-suppliers-in-africa--4322458</t>
  </si>
  <si>
    <t xml:space="preserve">Newspaper report on a vendor study</t>
  </si>
  <si>
    <t xml:space="preserve">NOT used for values; kept as a warning that fast-payer samples look better than reality</t>
  </si>
  <si>
    <t xml:space="preserve">Sample likely biased towards companies on a payments platform</t>
  </si>
  <si>
    <t xml:space="preserve">Kenya Revenue Authority: VAT leaflet 2023/24</t>
  </si>
  <si>
    <t xml:space="preserve">https://www.kra.go.ke/images/publications/VAT_8112023.pdf</t>
  </si>
  <si>
    <t xml:space="preserve">Official publication</t>
  </si>
  <si>
    <t xml:space="preserve">VAT general rate 16%</t>
  </si>
  <si>
    <t xml:space="preserve">2023/24 edition; later Finance Act changes not reviewed</t>
  </si>
  <si>
    <t xml:space="preserve">S15</t>
  </si>
  <si>
    <t xml:space="preserve">Zigaflow: win rate glossary</t>
  </si>
  <si>
    <t xml:space="preserve">https://zigaflow.com/resources/glossary/win-rate</t>
  </si>
  <si>
    <t xml:space="preserve">Context: general B2B win rates can be far lower than AV integrator close rates</t>
  </si>
  <si>
    <t xml:space="preserve">Not comparable (mostly software sales)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</si>
</sst>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,##0"/>
    <numFmt numFmtId="167" formatCode="0%;\-0%"/>
    <numFmt numFmtId="168" formatCode="0"/>
    <numFmt numFmtId="169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  <col collapsed="false" customWidth="true" hidden="false" outlineLevel="0" max="2" min="2" style="1" width="12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5" t="s">
        <v>3</v>
      </c>
    </row>
    <row r="7" customFormat="false" ht="15" hidden="false" customHeight="true" outlineLevel="0" collapsed="false">
      <c r="A7" s="5" t="s">
        <v>4</v>
      </c>
    </row>
    <row r="8" customFormat="false" ht="15" hidden="false" customHeight="true" outlineLevel="0" collapsed="false">
      <c r="A8" s="5" t="s">
        <v>5</v>
      </c>
    </row>
    <row r="9" customFormat="false" ht="15" hidden="false" customHeight="true" outlineLevel="0" collapsed="false">
      <c r="A9" s="5"/>
    </row>
    <row r="10" customFormat="false" ht="15" hidden="false" customHeight="true" outlineLevel="0" collapsed="false">
      <c r="A10" s="4" t="s">
        <v>6</v>
      </c>
    </row>
    <row r="11" customFormat="false" ht="23.25" hidden="false" customHeight="true" outlineLevel="0" collapsed="false">
      <c r="A11" s="5" t="s">
        <v>7</v>
      </c>
    </row>
    <row r="12" customFormat="false" ht="15" hidden="false" customHeight="true" outlineLevel="0" collapsed="false">
      <c r="A12" s="5"/>
    </row>
    <row r="13" customFormat="false" ht="15" hidden="false" customHeight="true" outlineLevel="0" collapsed="false">
      <c r="A13" s="4" t="s">
        <v>8</v>
      </c>
    </row>
    <row r="14" customFormat="false" ht="23.25" hidden="false" customHeight="true" outlineLevel="0" collapsed="false">
      <c r="A14" s="5" t="s">
        <v>9</v>
      </c>
    </row>
    <row r="15" customFormat="false" ht="15" hidden="false" customHeight="true" outlineLevel="0" collapsed="false">
      <c r="A15" s="5" t="s">
        <v>10</v>
      </c>
    </row>
    <row r="16" customFormat="false" ht="15" hidden="false" customHeight="true" outlineLevel="0" collapsed="false">
      <c r="A16" s="5" t="s">
        <v>11</v>
      </c>
    </row>
    <row r="17" customFormat="false" ht="23.25" hidden="false" customHeight="true" outlineLevel="0" collapsed="false">
      <c r="A17" s="5" t="s">
        <v>12</v>
      </c>
    </row>
    <row r="18" customFormat="false" ht="15" hidden="false" customHeight="true" outlineLevel="0" collapsed="false">
      <c r="A18" s="5" t="s">
        <v>13</v>
      </c>
    </row>
    <row r="20" customFormat="false" ht="15" hidden="false" customHeight="true" outlineLevel="0" collapsed="false">
      <c r="A20" s="3" t="s">
        <v>14</v>
      </c>
    </row>
    <row r="21" customFormat="false" ht="15" hidden="false" customHeight="true" outlineLevel="0" collapsed="false">
      <c r="A21" s="6" t="s">
        <v>15</v>
      </c>
      <c r="B21" s="6" t="n">
        <f aca="false">COUNTA(Parameters!A5:A200)</f>
        <v>107</v>
      </c>
    </row>
    <row r="22" customFormat="false" ht="15" hidden="false" customHeight="true" outlineLevel="0" collapsed="false">
      <c r="A22" s="6" t="s">
        <v>16</v>
      </c>
      <c r="B22" s="6" t="n">
        <f aca="false">COUNTIF(Parameters!M5:M200,"Accept")</f>
        <v>107</v>
      </c>
    </row>
    <row r="23" customFormat="false" ht="15" hidden="false" customHeight="true" outlineLevel="0" collapsed="false">
      <c r="A23" s="6" t="s">
        <v>17</v>
      </c>
      <c r="B23" s="6" t="n">
        <f aca="false">COUNTIF(Parameters!M5:M200,"Change")</f>
        <v>0</v>
      </c>
    </row>
    <row r="24" customFormat="false" ht="15" hidden="false" customHeight="true" outlineLevel="0" collapsed="false">
      <c r="A24" s="6" t="s">
        <v>18</v>
      </c>
      <c r="B24" s="6" t="n">
        <f aca="false">COUNTIF(Parameters!M5:M200,"Reject")</f>
        <v>0</v>
      </c>
    </row>
    <row r="25" customFormat="false" ht="15" hidden="false" customHeight="true" outlineLevel="0" collapsed="false">
      <c r="A25" s="6" t="s">
        <v>19</v>
      </c>
      <c r="B25" s="6" t="n">
        <f aca="false">B21-B22-B23-B24</f>
        <v>0</v>
      </c>
    </row>
    <row r="26" customFormat="false" ht="15" hidden="false" customHeight="true" outlineLevel="0" collapsed="false">
      <c r="A26" s="6" t="s">
        <v>20</v>
      </c>
      <c r="B26" s="6" t="n">
        <f aca="false">COUNTIF(Parameters!L5:L200,"VERIFY*")+COUNTIF(Parameters!L5:L200,"UNKNOWN*")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3" min="3" style="1" width="52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8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56"/>
    <col collapsed="false" customWidth="true" hidden="false" outlineLevel="0" max="12" min="12" style="1" width="22"/>
    <col collapsed="false" customWidth="true" hidden="false" outlineLevel="0" max="13" min="13" style="1" width="14"/>
    <col collapsed="false" customWidth="true" hidden="false" outlineLevel="0" max="14" min="14" style="1" width="36"/>
  </cols>
  <sheetData>
    <row r="1" customFormat="false" ht="17.25" hidden="false" customHeight="true" outlineLevel="0" collapsed="false">
      <c r="A1" s="2" t="s">
        <v>21</v>
      </c>
    </row>
    <row r="2" customFormat="false" ht="15" hidden="false" customHeight="true" outlineLevel="0" collapsed="false">
      <c r="A2" s="6" t="s">
        <v>22</v>
      </c>
    </row>
    <row r="4" customFormat="false" ht="23.25" hidden="false" customHeight="true" outlineLevel="0" collapsed="false">
      <c r="A4" s="7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33</v>
      </c>
      <c r="L4" s="7" t="s">
        <v>34</v>
      </c>
      <c r="M4" s="7" t="s">
        <v>35</v>
      </c>
      <c r="N4" s="7" t="s">
        <v>36</v>
      </c>
    </row>
    <row r="5" customFormat="false" ht="23.25" hidden="false" customHeight="true" outlineLevel="0" collapsed="false">
      <c r="A5" s="8" t="s">
        <v>37</v>
      </c>
      <c r="B5" s="8" t="s">
        <v>38</v>
      </c>
      <c r="C5" s="8" t="s">
        <v>39</v>
      </c>
      <c r="D5" s="8"/>
      <c r="E5" s="9" t="s">
        <v>40</v>
      </c>
      <c r="F5" s="8"/>
      <c r="G5" s="8" t="s">
        <v>41</v>
      </c>
      <c r="H5" s="8" t="s">
        <v>42</v>
      </c>
      <c r="I5" s="8"/>
      <c r="J5" s="8" t="s">
        <v>43</v>
      </c>
      <c r="K5" s="8" t="s">
        <v>44</v>
      </c>
      <c r="L5" s="8" t="s">
        <v>45</v>
      </c>
      <c r="M5" s="10" t="s">
        <v>46</v>
      </c>
      <c r="N5" s="10" t="s">
        <v>47</v>
      </c>
    </row>
    <row r="6" customFormat="false" ht="15" hidden="false" customHeight="true" outlineLevel="0" collapsed="false">
      <c r="A6" s="8" t="s">
        <v>48</v>
      </c>
      <c r="B6" s="8" t="s">
        <v>38</v>
      </c>
      <c r="C6" s="8" t="s">
        <v>49</v>
      </c>
      <c r="D6" s="8"/>
      <c r="E6" s="9" t="s">
        <v>50</v>
      </c>
      <c r="F6" s="8"/>
      <c r="G6" s="8" t="s">
        <v>41</v>
      </c>
      <c r="H6" s="8" t="s">
        <v>42</v>
      </c>
      <c r="I6" s="8"/>
      <c r="J6" s="8" t="s">
        <v>43</v>
      </c>
      <c r="K6" s="8" t="s">
        <v>51</v>
      </c>
      <c r="L6" s="8" t="s">
        <v>45</v>
      </c>
      <c r="M6" s="10" t="s">
        <v>46</v>
      </c>
      <c r="N6" s="10" t="s">
        <v>47</v>
      </c>
    </row>
    <row r="7" customFormat="false" ht="15" hidden="false" customHeight="true" outlineLevel="0" collapsed="false">
      <c r="A7" s="8" t="s">
        <v>52</v>
      </c>
      <c r="B7" s="8" t="s">
        <v>38</v>
      </c>
      <c r="C7" s="8" t="s">
        <v>53</v>
      </c>
      <c r="D7" s="8"/>
      <c r="E7" s="11" t="n">
        <v>0.42</v>
      </c>
      <c r="F7" s="8"/>
      <c r="G7" s="8" t="s">
        <v>54</v>
      </c>
      <c r="H7" s="8" t="s">
        <v>42</v>
      </c>
      <c r="I7" s="8"/>
      <c r="J7" s="8" t="s">
        <v>43</v>
      </c>
      <c r="K7" s="8" t="s">
        <v>55</v>
      </c>
      <c r="L7" s="8" t="s">
        <v>45</v>
      </c>
      <c r="M7" s="10" t="s">
        <v>46</v>
      </c>
      <c r="N7" s="10" t="s">
        <v>47</v>
      </c>
    </row>
    <row r="8" customFormat="false" ht="34.5" hidden="false" customHeight="true" outlineLevel="0" collapsed="false">
      <c r="A8" s="8" t="s">
        <v>56</v>
      </c>
      <c r="B8" s="8" t="s">
        <v>38</v>
      </c>
      <c r="C8" s="8" t="s">
        <v>57</v>
      </c>
      <c r="D8" s="8"/>
      <c r="E8" s="9" t="s">
        <v>58</v>
      </c>
      <c r="F8" s="8"/>
      <c r="G8" s="8" t="s">
        <v>41</v>
      </c>
      <c r="H8" s="8" t="s">
        <v>42</v>
      </c>
      <c r="I8" s="8"/>
      <c r="J8" s="8" t="s">
        <v>43</v>
      </c>
      <c r="K8" s="8" t="s">
        <v>59</v>
      </c>
      <c r="L8" s="8" t="s">
        <v>45</v>
      </c>
      <c r="M8" s="10" t="s">
        <v>46</v>
      </c>
      <c r="N8" s="10" t="s">
        <v>47</v>
      </c>
    </row>
    <row r="9" customFormat="false" ht="34.5" hidden="false" customHeight="true" outlineLevel="0" collapsed="false">
      <c r="A9" s="8" t="s">
        <v>60</v>
      </c>
      <c r="B9" s="8" t="s">
        <v>38</v>
      </c>
      <c r="C9" s="8" t="s">
        <v>61</v>
      </c>
      <c r="D9" s="8"/>
      <c r="E9" s="9" t="s">
        <v>62</v>
      </c>
      <c r="F9" s="8"/>
      <c r="G9" s="8" t="s">
        <v>41</v>
      </c>
      <c r="H9" s="8" t="s">
        <v>42</v>
      </c>
      <c r="I9" s="8"/>
      <c r="J9" s="8" t="s">
        <v>43</v>
      </c>
      <c r="K9" s="8" t="s">
        <v>63</v>
      </c>
      <c r="L9" s="8" t="s">
        <v>45</v>
      </c>
      <c r="M9" s="10" t="s">
        <v>46</v>
      </c>
      <c r="N9" s="10" t="s">
        <v>47</v>
      </c>
    </row>
    <row r="10" customFormat="false" ht="15" hidden="false" customHeight="true" outlineLevel="0" collapsed="false">
      <c r="A10" s="8" t="s">
        <v>64</v>
      </c>
      <c r="B10" s="8" t="s">
        <v>38</v>
      </c>
      <c r="C10" s="8" t="s">
        <v>65</v>
      </c>
      <c r="D10" s="12" t="n">
        <v>120</v>
      </c>
      <c r="E10" s="12" t="n">
        <v>150</v>
      </c>
      <c r="F10" s="12" t="n">
        <v>180</v>
      </c>
      <c r="G10" s="8" t="s">
        <v>66</v>
      </c>
      <c r="H10" s="8" t="s">
        <v>42</v>
      </c>
      <c r="I10" s="8"/>
      <c r="J10" s="8" t="s">
        <v>43</v>
      </c>
      <c r="K10" s="8" t="s">
        <v>67</v>
      </c>
      <c r="L10" s="8" t="s">
        <v>45</v>
      </c>
      <c r="M10" s="10" t="s">
        <v>46</v>
      </c>
      <c r="N10" s="10" t="s">
        <v>47</v>
      </c>
    </row>
    <row r="11" customFormat="false" ht="45.75" hidden="false" customHeight="true" outlineLevel="0" collapsed="false">
      <c r="A11" s="8" t="s">
        <v>68</v>
      </c>
      <c r="B11" s="8" t="s">
        <v>38</v>
      </c>
      <c r="C11" s="8" t="s">
        <v>69</v>
      </c>
      <c r="D11" s="8"/>
      <c r="E11" s="9" t="s">
        <v>70</v>
      </c>
      <c r="F11" s="8"/>
      <c r="G11" s="8" t="s">
        <v>41</v>
      </c>
      <c r="H11" s="8" t="s">
        <v>42</v>
      </c>
      <c r="I11" s="8"/>
      <c r="J11" s="8" t="s">
        <v>43</v>
      </c>
      <c r="K11" s="8" t="s">
        <v>71</v>
      </c>
      <c r="L11" s="8" t="s">
        <v>45</v>
      </c>
      <c r="M11" s="10" t="s">
        <v>46</v>
      </c>
      <c r="N11" s="10" t="s">
        <v>47</v>
      </c>
    </row>
    <row r="12" customFormat="false" ht="15" hidden="false" customHeight="true" outlineLevel="0" collapsed="false">
      <c r="A12" s="8" t="s">
        <v>72</v>
      </c>
      <c r="B12" s="8" t="s">
        <v>38</v>
      </c>
      <c r="C12" s="8" t="s">
        <v>73</v>
      </c>
      <c r="D12" s="12" t="n">
        <v>90</v>
      </c>
      <c r="E12" s="12" t="n">
        <v>120</v>
      </c>
      <c r="F12" s="12" t="n">
        <v>150</v>
      </c>
      <c r="G12" s="8" t="s">
        <v>66</v>
      </c>
      <c r="H12" s="8" t="s">
        <v>42</v>
      </c>
      <c r="I12" s="8"/>
      <c r="J12" s="8" t="s">
        <v>43</v>
      </c>
      <c r="K12" s="8" t="s">
        <v>74</v>
      </c>
      <c r="L12" s="8" t="s">
        <v>45</v>
      </c>
      <c r="M12" s="10" t="s">
        <v>46</v>
      </c>
      <c r="N12" s="10" t="s">
        <v>47</v>
      </c>
    </row>
    <row r="13" customFormat="false" ht="15" hidden="false" customHeight="true" outlineLevel="0" collapsed="false">
      <c r="A13" s="8" t="s">
        <v>75</v>
      </c>
      <c r="B13" s="8" t="s">
        <v>38</v>
      </c>
      <c r="C13" s="8" t="s">
        <v>76</v>
      </c>
      <c r="D13" s="12" t="n">
        <v>60</v>
      </c>
      <c r="E13" s="12" t="n">
        <v>80</v>
      </c>
      <c r="F13" s="12" t="n">
        <v>100</v>
      </c>
      <c r="G13" s="8" t="s">
        <v>66</v>
      </c>
      <c r="H13" s="8" t="s">
        <v>42</v>
      </c>
      <c r="I13" s="8"/>
      <c r="J13" s="8" t="s">
        <v>43</v>
      </c>
      <c r="K13" s="8" t="s">
        <v>77</v>
      </c>
      <c r="L13" s="8" t="s">
        <v>45</v>
      </c>
      <c r="M13" s="10" t="s">
        <v>46</v>
      </c>
      <c r="N13" s="10" t="s">
        <v>47</v>
      </c>
    </row>
    <row r="14" customFormat="false" ht="15" hidden="false" customHeight="true" outlineLevel="0" collapsed="false">
      <c r="A14" s="8" t="s">
        <v>78</v>
      </c>
      <c r="B14" s="8" t="s">
        <v>38</v>
      </c>
      <c r="C14" s="8" t="s">
        <v>79</v>
      </c>
      <c r="D14" s="12" t="n">
        <v>10</v>
      </c>
      <c r="E14" s="12" t="n">
        <v>15</v>
      </c>
      <c r="F14" s="12" t="n">
        <v>20</v>
      </c>
      <c r="G14" s="8" t="s">
        <v>66</v>
      </c>
      <c r="H14" s="8" t="s">
        <v>42</v>
      </c>
      <c r="I14" s="8"/>
      <c r="J14" s="8" t="s">
        <v>43</v>
      </c>
      <c r="K14" s="8" t="s">
        <v>80</v>
      </c>
      <c r="L14" s="8" t="s">
        <v>45</v>
      </c>
      <c r="M14" s="10" t="s">
        <v>46</v>
      </c>
      <c r="N14" s="10" t="s">
        <v>47</v>
      </c>
    </row>
    <row r="15" customFormat="false" ht="15" hidden="false" customHeight="true" outlineLevel="0" collapsed="false">
      <c r="A15" s="8" t="s">
        <v>81</v>
      </c>
      <c r="B15" s="8" t="s">
        <v>38</v>
      </c>
      <c r="C15" s="8" t="s">
        <v>82</v>
      </c>
      <c r="D15" s="12" t="n">
        <v>90</v>
      </c>
      <c r="E15" s="12" t="n">
        <v>120</v>
      </c>
      <c r="F15" s="12" t="n">
        <v>150</v>
      </c>
      <c r="G15" s="8" t="s">
        <v>66</v>
      </c>
      <c r="H15" s="8" t="s">
        <v>42</v>
      </c>
      <c r="I15" s="8"/>
      <c r="J15" s="8" t="s">
        <v>43</v>
      </c>
      <c r="K15" s="8" t="s">
        <v>83</v>
      </c>
      <c r="L15" s="8" t="s">
        <v>45</v>
      </c>
      <c r="M15" s="10" t="s">
        <v>46</v>
      </c>
      <c r="N15" s="10" t="s">
        <v>47</v>
      </c>
    </row>
    <row r="16" customFormat="false" ht="23.25" hidden="false" customHeight="true" outlineLevel="0" collapsed="false">
      <c r="A16" s="8" t="s">
        <v>84</v>
      </c>
      <c r="B16" s="8" t="s">
        <v>38</v>
      </c>
      <c r="C16" s="8" t="s">
        <v>85</v>
      </c>
      <c r="D16" s="8"/>
      <c r="E16" s="9" t="s">
        <v>86</v>
      </c>
      <c r="F16" s="8"/>
      <c r="G16" s="8" t="s">
        <v>41</v>
      </c>
      <c r="H16" s="8" t="s">
        <v>42</v>
      </c>
      <c r="I16" s="8"/>
      <c r="J16" s="8" t="s">
        <v>43</v>
      </c>
      <c r="K16" s="8" t="s">
        <v>87</v>
      </c>
      <c r="L16" s="8" t="s">
        <v>45</v>
      </c>
      <c r="M16" s="10" t="s">
        <v>46</v>
      </c>
      <c r="N16" s="10" t="s">
        <v>47</v>
      </c>
    </row>
    <row r="17" customFormat="false" ht="34.5" hidden="false" customHeight="true" outlineLevel="0" collapsed="false">
      <c r="A17" s="8" t="s">
        <v>88</v>
      </c>
      <c r="B17" s="8" t="s">
        <v>38</v>
      </c>
      <c r="C17" s="8" t="s">
        <v>89</v>
      </c>
      <c r="D17" s="8"/>
      <c r="E17" s="9" t="s">
        <v>90</v>
      </c>
      <c r="F17" s="8"/>
      <c r="G17" s="8" t="s">
        <v>41</v>
      </c>
      <c r="H17" s="8" t="s">
        <v>42</v>
      </c>
      <c r="I17" s="8"/>
      <c r="J17" s="8" t="s">
        <v>43</v>
      </c>
      <c r="K17" s="8" t="s">
        <v>91</v>
      </c>
      <c r="L17" s="8" t="s">
        <v>45</v>
      </c>
      <c r="M17" s="10" t="s">
        <v>46</v>
      </c>
      <c r="N17" s="10" t="s">
        <v>47</v>
      </c>
    </row>
    <row r="18" customFormat="false" ht="23.25" hidden="false" customHeight="true" outlineLevel="0" collapsed="false">
      <c r="A18" s="8" t="s">
        <v>92</v>
      </c>
      <c r="B18" s="8" t="s">
        <v>93</v>
      </c>
      <c r="C18" s="8" t="s">
        <v>94</v>
      </c>
      <c r="D18" s="13" t="n">
        <v>0.3</v>
      </c>
      <c r="E18" s="13" t="n">
        <v>0.45</v>
      </c>
      <c r="F18" s="13" t="n">
        <v>0.6</v>
      </c>
      <c r="G18" s="8" t="s">
        <v>95</v>
      </c>
      <c r="H18" s="8" t="s">
        <v>42</v>
      </c>
      <c r="I18" s="8" t="s">
        <v>96</v>
      </c>
      <c r="J18" s="8" t="s">
        <v>97</v>
      </c>
      <c r="K18" s="8" t="s">
        <v>98</v>
      </c>
      <c r="L18" s="8" t="s">
        <v>45</v>
      </c>
      <c r="M18" s="10" t="s">
        <v>46</v>
      </c>
      <c r="N18" s="10" t="s">
        <v>47</v>
      </c>
    </row>
    <row r="19" customFormat="false" ht="15" hidden="false" customHeight="true" outlineLevel="0" collapsed="false">
      <c r="A19" s="8" t="s">
        <v>99</v>
      </c>
      <c r="B19" s="8" t="s">
        <v>93</v>
      </c>
      <c r="C19" s="8" t="s">
        <v>100</v>
      </c>
      <c r="D19" s="13" t="n">
        <v>0.5</v>
      </c>
      <c r="E19" s="13" t="n">
        <v>0.65</v>
      </c>
      <c r="F19" s="13" t="n">
        <v>0.8</v>
      </c>
      <c r="G19" s="8" t="s">
        <v>95</v>
      </c>
      <c r="H19" s="8" t="s">
        <v>42</v>
      </c>
      <c r="I19" s="8" t="s">
        <v>101</v>
      </c>
      <c r="J19" s="8" t="s">
        <v>97</v>
      </c>
      <c r="K19" s="8" t="s">
        <v>102</v>
      </c>
      <c r="L19" s="8" t="s">
        <v>45</v>
      </c>
      <c r="M19" s="10" t="s">
        <v>46</v>
      </c>
      <c r="N19" s="10" t="s">
        <v>47</v>
      </c>
    </row>
    <row r="20" customFormat="false" ht="15" hidden="false" customHeight="true" outlineLevel="0" collapsed="false">
      <c r="A20" s="8" t="s">
        <v>103</v>
      </c>
      <c r="B20" s="8" t="s">
        <v>93</v>
      </c>
      <c r="C20" s="8" t="s">
        <v>104</v>
      </c>
      <c r="D20" s="13" t="n">
        <v>0.6</v>
      </c>
      <c r="E20" s="13" t="n">
        <v>0.72</v>
      </c>
      <c r="F20" s="13" t="n">
        <v>0.85</v>
      </c>
      <c r="G20" s="8" t="s">
        <v>95</v>
      </c>
      <c r="H20" s="8" t="s">
        <v>42</v>
      </c>
      <c r="I20" s="8" t="s">
        <v>101</v>
      </c>
      <c r="J20" s="8" t="s">
        <v>97</v>
      </c>
      <c r="K20" s="8" t="s">
        <v>105</v>
      </c>
      <c r="L20" s="8" t="s">
        <v>45</v>
      </c>
      <c r="M20" s="10" t="s">
        <v>46</v>
      </c>
      <c r="N20" s="10" t="s">
        <v>47</v>
      </c>
    </row>
    <row r="21" customFormat="false" ht="15" hidden="false" customHeight="true" outlineLevel="0" collapsed="false">
      <c r="A21" s="8" t="s">
        <v>106</v>
      </c>
      <c r="B21" s="8" t="s">
        <v>93</v>
      </c>
      <c r="C21" s="8" t="s">
        <v>107</v>
      </c>
      <c r="D21" s="14" t="n">
        <v>3</v>
      </c>
      <c r="E21" s="14" t="n">
        <v>14</v>
      </c>
      <c r="F21" s="14" t="n">
        <v>60</v>
      </c>
      <c r="G21" s="8" t="s">
        <v>108</v>
      </c>
      <c r="H21" s="8" t="s">
        <v>42</v>
      </c>
      <c r="I21" s="8" t="s">
        <v>109</v>
      </c>
      <c r="J21" s="8" t="s">
        <v>97</v>
      </c>
      <c r="K21" s="8" t="s">
        <v>110</v>
      </c>
      <c r="L21" s="8" t="s">
        <v>45</v>
      </c>
      <c r="M21" s="10" t="s">
        <v>46</v>
      </c>
      <c r="N21" s="10" t="s">
        <v>47</v>
      </c>
    </row>
    <row r="22" customFormat="false" ht="23.25" hidden="false" customHeight="true" outlineLevel="0" collapsed="false">
      <c r="A22" s="8" t="s">
        <v>111</v>
      </c>
      <c r="B22" s="8" t="s">
        <v>93</v>
      </c>
      <c r="C22" s="8" t="s">
        <v>112</v>
      </c>
      <c r="D22" s="14" t="n">
        <v>10</v>
      </c>
      <c r="E22" s="14" t="n">
        <v>15</v>
      </c>
      <c r="F22" s="14" t="n">
        <v>20</v>
      </c>
      <c r="G22" s="8" t="s">
        <v>113</v>
      </c>
      <c r="H22" s="8" t="s">
        <v>42</v>
      </c>
      <c r="I22" s="8" t="s">
        <v>109</v>
      </c>
      <c r="J22" s="8" t="s">
        <v>114</v>
      </c>
      <c r="K22" s="8" t="s">
        <v>115</v>
      </c>
      <c r="L22" s="8" t="s">
        <v>45</v>
      </c>
      <c r="M22" s="10" t="s">
        <v>46</v>
      </c>
      <c r="N22" s="10" t="s">
        <v>47</v>
      </c>
    </row>
    <row r="23" customFormat="false" ht="23.25" hidden="false" customHeight="true" outlineLevel="0" collapsed="false">
      <c r="A23" s="8" t="s">
        <v>116</v>
      </c>
      <c r="B23" s="8" t="s">
        <v>117</v>
      </c>
      <c r="C23" s="8" t="s">
        <v>118</v>
      </c>
      <c r="D23" s="13" t="n">
        <v>0.06</v>
      </c>
      <c r="E23" s="13" t="n">
        <v>0.18</v>
      </c>
      <c r="F23" s="13" t="n">
        <v>0.3</v>
      </c>
      <c r="G23" s="8" t="s">
        <v>95</v>
      </c>
      <c r="H23" s="8" t="s">
        <v>119</v>
      </c>
      <c r="I23" s="8" t="s">
        <v>120</v>
      </c>
      <c r="J23" s="8" t="s">
        <v>114</v>
      </c>
      <c r="K23" s="8" t="s">
        <v>121</v>
      </c>
      <c r="L23" s="8" t="s">
        <v>45</v>
      </c>
      <c r="M23" s="10" t="s">
        <v>46</v>
      </c>
      <c r="N23" s="10" t="s">
        <v>47</v>
      </c>
    </row>
    <row r="24" customFormat="false" ht="15" hidden="false" customHeight="true" outlineLevel="0" collapsed="false">
      <c r="A24" s="8" t="s">
        <v>122</v>
      </c>
      <c r="B24" s="8" t="s">
        <v>117</v>
      </c>
      <c r="C24" s="8" t="s">
        <v>123</v>
      </c>
      <c r="D24" s="13" t="n">
        <v>0.17</v>
      </c>
      <c r="E24" s="13" t="n">
        <v>0.3</v>
      </c>
      <c r="F24" s="13" t="n">
        <v>0.35</v>
      </c>
      <c r="G24" s="8" t="s">
        <v>95</v>
      </c>
      <c r="H24" s="8" t="s">
        <v>119</v>
      </c>
      <c r="I24" s="8" t="s">
        <v>124</v>
      </c>
      <c r="J24" s="8" t="s">
        <v>114</v>
      </c>
      <c r="K24" s="8" t="s">
        <v>125</v>
      </c>
      <c r="L24" s="8" t="s">
        <v>45</v>
      </c>
      <c r="M24" s="10" t="s">
        <v>46</v>
      </c>
      <c r="N24" s="10" t="s">
        <v>47</v>
      </c>
    </row>
    <row r="25" customFormat="false" ht="15" hidden="false" customHeight="true" outlineLevel="0" collapsed="false">
      <c r="A25" s="8" t="s">
        <v>126</v>
      </c>
      <c r="B25" s="8" t="s">
        <v>117</v>
      </c>
      <c r="C25" s="8" t="s">
        <v>127</v>
      </c>
      <c r="D25" s="13" t="n">
        <v>0.25</v>
      </c>
      <c r="E25" s="13" t="n">
        <v>0.35</v>
      </c>
      <c r="F25" s="13" t="n">
        <v>0.48</v>
      </c>
      <c r="G25" s="8" t="s">
        <v>95</v>
      </c>
      <c r="H25" s="8" t="s">
        <v>119</v>
      </c>
      <c r="I25" s="8" t="s">
        <v>128</v>
      </c>
      <c r="J25" s="8" t="s">
        <v>114</v>
      </c>
      <c r="K25" s="8" t="s">
        <v>129</v>
      </c>
      <c r="L25" s="8" t="s">
        <v>45</v>
      </c>
      <c r="M25" s="10" t="s">
        <v>46</v>
      </c>
      <c r="N25" s="10" t="s">
        <v>47</v>
      </c>
    </row>
    <row r="26" customFormat="false" ht="23.25" hidden="false" customHeight="true" outlineLevel="0" collapsed="false">
      <c r="A26" s="8" t="s">
        <v>130</v>
      </c>
      <c r="B26" s="8" t="s">
        <v>117</v>
      </c>
      <c r="C26" s="8" t="s">
        <v>131</v>
      </c>
      <c r="D26" s="13" t="n">
        <v>0.15</v>
      </c>
      <c r="E26" s="13" t="n">
        <v>0.25</v>
      </c>
      <c r="F26" s="13" t="n">
        <v>0.4</v>
      </c>
      <c r="G26" s="8" t="s">
        <v>95</v>
      </c>
      <c r="H26" s="8" t="s">
        <v>42</v>
      </c>
      <c r="I26" s="8" t="s">
        <v>132</v>
      </c>
      <c r="J26" s="8" t="s">
        <v>114</v>
      </c>
      <c r="K26" s="8" t="s">
        <v>133</v>
      </c>
      <c r="L26" s="8" t="s">
        <v>45</v>
      </c>
      <c r="M26" s="10" t="s">
        <v>46</v>
      </c>
      <c r="N26" s="10" t="s">
        <v>47</v>
      </c>
    </row>
    <row r="27" customFormat="false" ht="15" hidden="false" customHeight="true" outlineLevel="0" collapsed="false">
      <c r="A27" s="8" t="s">
        <v>134</v>
      </c>
      <c r="B27" s="8" t="s">
        <v>117</v>
      </c>
      <c r="C27" s="8" t="s">
        <v>135</v>
      </c>
      <c r="D27" s="13" t="n">
        <v>-0.05</v>
      </c>
      <c r="E27" s="13" t="n">
        <v>0.05</v>
      </c>
      <c r="F27" s="13" t="n">
        <v>0.15</v>
      </c>
      <c r="G27" s="8" t="s">
        <v>95</v>
      </c>
      <c r="H27" s="8" t="s">
        <v>42</v>
      </c>
      <c r="I27" s="8"/>
      <c r="J27" s="8" t="s">
        <v>43</v>
      </c>
      <c r="K27" s="8" t="s">
        <v>136</v>
      </c>
      <c r="L27" s="8" t="s">
        <v>45</v>
      </c>
      <c r="M27" s="10" t="s">
        <v>46</v>
      </c>
      <c r="N27" s="10" t="s">
        <v>47</v>
      </c>
    </row>
    <row r="28" customFormat="false" ht="15" hidden="false" customHeight="true" outlineLevel="0" collapsed="false">
      <c r="A28" s="8" t="s">
        <v>137</v>
      </c>
      <c r="B28" s="8" t="s">
        <v>117</v>
      </c>
      <c r="C28" s="8" t="s">
        <v>138</v>
      </c>
      <c r="D28" s="13" t="n">
        <v>-0.1</v>
      </c>
      <c r="E28" s="13" t="n">
        <v>-0.05</v>
      </c>
      <c r="F28" s="13" t="n">
        <v>0</v>
      </c>
      <c r="G28" s="8" t="s">
        <v>95</v>
      </c>
      <c r="H28" s="8" t="s">
        <v>42</v>
      </c>
      <c r="I28" s="8"/>
      <c r="J28" s="8" t="s">
        <v>43</v>
      </c>
      <c r="K28" s="8" t="s">
        <v>139</v>
      </c>
      <c r="L28" s="8" t="s">
        <v>45</v>
      </c>
      <c r="M28" s="10" t="s">
        <v>46</v>
      </c>
      <c r="N28" s="10" t="s">
        <v>47</v>
      </c>
    </row>
    <row r="29" customFormat="false" ht="15" hidden="false" customHeight="true" outlineLevel="0" collapsed="false">
      <c r="A29" s="8" t="s">
        <v>140</v>
      </c>
      <c r="B29" s="8" t="s">
        <v>117</v>
      </c>
      <c r="C29" s="8" t="s">
        <v>141</v>
      </c>
      <c r="D29" s="12" t="n">
        <v>150000</v>
      </c>
      <c r="E29" s="12" t="n">
        <v>1200000</v>
      </c>
      <c r="F29" s="12" t="n">
        <v>15000000</v>
      </c>
      <c r="G29" s="8" t="s">
        <v>142</v>
      </c>
      <c r="H29" s="8" t="s">
        <v>42</v>
      </c>
      <c r="I29" s="8"/>
      <c r="J29" s="8" t="s">
        <v>43</v>
      </c>
      <c r="K29" s="8" t="s">
        <v>143</v>
      </c>
      <c r="L29" s="8" t="s">
        <v>45</v>
      </c>
      <c r="M29" s="10" t="s">
        <v>46</v>
      </c>
      <c r="N29" s="10" t="s">
        <v>47</v>
      </c>
    </row>
    <row r="30" customFormat="false" ht="15" hidden="false" customHeight="true" outlineLevel="0" collapsed="false">
      <c r="A30" s="8" t="s">
        <v>144</v>
      </c>
      <c r="B30" s="8" t="s">
        <v>117</v>
      </c>
      <c r="C30" s="8" t="s">
        <v>145</v>
      </c>
      <c r="D30" s="12" t="n">
        <v>2000</v>
      </c>
      <c r="E30" s="12" t="n">
        <v>45000</v>
      </c>
      <c r="F30" s="12" t="n">
        <v>900000</v>
      </c>
      <c r="G30" s="8" t="s">
        <v>142</v>
      </c>
      <c r="H30" s="8" t="s">
        <v>42</v>
      </c>
      <c r="I30" s="8"/>
      <c r="J30" s="8" t="s">
        <v>43</v>
      </c>
      <c r="K30" s="8" t="s">
        <v>143</v>
      </c>
      <c r="L30" s="8" t="s">
        <v>45</v>
      </c>
      <c r="M30" s="10" t="s">
        <v>46</v>
      </c>
      <c r="N30" s="10" t="s">
        <v>47</v>
      </c>
    </row>
    <row r="31" customFormat="false" ht="15" hidden="false" customHeight="true" outlineLevel="0" collapsed="false">
      <c r="A31" s="8" t="s">
        <v>146</v>
      </c>
      <c r="B31" s="8" t="s">
        <v>117</v>
      </c>
      <c r="C31" s="8" t="s">
        <v>147</v>
      </c>
      <c r="D31" s="12" t="n">
        <v>1500</v>
      </c>
      <c r="E31" s="12" t="n">
        <v>12000</v>
      </c>
      <c r="F31" s="12" t="n">
        <v>80000</v>
      </c>
      <c r="G31" s="8" t="s">
        <v>142</v>
      </c>
      <c r="H31" s="8" t="s">
        <v>42</v>
      </c>
      <c r="I31" s="8"/>
      <c r="J31" s="8" t="s">
        <v>43</v>
      </c>
      <c r="K31" s="8" t="s">
        <v>143</v>
      </c>
      <c r="L31" s="8" t="s">
        <v>45</v>
      </c>
      <c r="M31" s="10" t="s">
        <v>46</v>
      </c>
      <c r="N31" s="10" t="s">
        <v>47</v>
      </c>
    </row>
    <row r="32" customFormat="false" ht="15" hidden="false" customHeight="true" outlineLevel="0" collapsed="false">
      <c r="A32" s="8" t="s">
        <v>148</v>
      </c>
      <c r="B32" s="8" t="s">
        <v>149</v>
      </c>
      <c r="C32" s="8" t="s">
        <v>150</v>
      </c>
      <c r="D32" s="13" t="n">
        <v>0.3</v>
      </c>
      <c r="E32" s="13" t="n">
        <v>0.4</v>
      </c>
      <c r="F32" s="13" t="n">
        <v>0.5</v>
      </c>
      <c r="G32" s="8" t="s">
        <v>95</v>
      </c>
      <c r="H32" s="8" t="s">
        <v>119</v>
      </c>
      <c r="I32" s="8" t="s">
        <v>151</v>
      </c>
      <c r="J32" s="8" t="s">
        <v>114</v>
      </c>
      <c r="K32" s="8" t="s">
        <v>152</v>
      </c>
      <c r="L32" s="8" t="s">
        <v>45</v>
      </c>
      <c r="M32" s="10" t="s">
        <v>46</v>
      </c>
      <c r="N32" s="10" t="s">
        <v>47</v>
      </c>
    </row>
    <row r="33" customFormat="false" ht="15" hidden="false" customHeight="true" outlineLevel="0" collapsed="false">
      <c r="A33" s="8" t="s">
        <v>153</v>
      </c>
      <c r="B33" s="8" t="s">
        <v>149</v>
      </c>
      <c r="C33" s="8" t="s">
        <v>154</v>
      </c>
      <c r="D33" s="13" t="n">
        <v>0.55</v>
      </c>
      <c r="E33" s="13" t="n">
        <v>0.65</v>
      </c>
      <c r="F33" s="13" t="n">
        <v>0.75</v>
      </c>
      <c r="G33" s="8" t="s">
        <v>95</v>
      </c>
      <c r="H33" s="8" t="s">
        <v>119</v>
      </c>
      <c r="I33" s="8" t="s">
        <v>155</v>
      </c>
      <c r="J33" s="8" t="s">
        <v>114</v>
      </c>
      <c r="K33" s="8" t="s">
        <v>152</v>
      </c>
      <c r="L33" s="8" t="s">
        <v>45</v>
      </c>
      <c r="M33" s="10" t="s">
        <v>46</v>
      </c>
      <c r="N33" s="10" t="s">
        <v>47</v>
      </c>
    </row>
    <row r="34" customFormat="false" ht="15" hidden="false" customHeight="true" outlineLevel="0" collapsed="false">
      <c r="A34" s="8" t="s">
        <v>156</v>
      </c>
      <c r="B34" s="8" t="s">
        <v>149</v>
      </c>
      <c r="C34" s="8" t="s">
        <v>157</v>
      </c>
      <c r="D34" s="13" t="n">
        <v>0.05</v>
      </c>
      <c r="E34" s="13" t="n">
        <v>0.07</v>
      </c>
      <c r="F34" s="13" t="n">
        <v>0.1</v>
      </c>
      <c r="G34" s="8" t="s">
        <v>95</v>
      </c>
      <c r="H34" s="8" t="s">
        <v>42</v>
      </c>
      <c r="I34" s="8"/>
      <c r="J34" s="8" t="s">
        <v>43</v>
      </c>
      <c r="K34" s="8" t="s">
        <v>158</v>
      </c>
      <c r="L34" s="8" t="s">
        <v>45</v>
      </c>
      <c r="M34" s="10" t="s">
        <v>46</v>
      </c>
      <c r="N34" s="10" t="s">
        <v>47</v>
      </c>
    </row>
    <row r="35" customFormat="false" ht="15" hidden="false" customHeight="true" outlineLevel="0" collapsed="false">
      <c r="A35" s="8" t="s">
        <v>159</v>
      </c>
      <c r="B35" s="8" t="s">
        <v>149</v>
      </c>
      <c r="C35" s="8" t="s">
        <v>160</v>
      </c>
      <c r="D35" s="13" t="n">
        <v>0.03</v>
      </c>
      <c r="E35" s="13" t="n">
        <v>0.04</v>
      </c>
      <c r="F35" s="13" t="n">
        <v>0.05</v>
      </c>
      <c r="G35" s="8" t="s">
        <v>95</v>
      </c>
      <c r="H35" s="8" t="s">
        <v>119</v>
      </c>
      <c r="I35" s="8" t="s">
        <v>161</v>
      </c>
      <c r="J35" s="8" t="s">
        <v>114</v>
      </c>
      <c r="K35" s="8" t="s">
        <v>162</v>
      </c>
      <c r="L35" s="8" t="s">
        <v>45</v>
      </c>
      <c r="M35" s="10" t="s">
        <v>46</v>
      </c>
      <c r="N35" s="10" t="s">
        <v>47</v>
      </c>
    </row>
    <row r="36" customFormat="false" ht="15" hidden="false" customHeight="true" outlineLevel="0" collapsed="false">
      <c r="A36" s="8" t="s">
        <v>163</v>
      </c>
      <c r="B36" s="8" t="s">
        <v>149</v>
      </c>
      <c r="C36" s="8" t="s">
        <v>164</v>
      </c>
      <c r="D36" s="13" t="n">
        <v>0.02</v>
      </c>
      <c r="E36" s="13" t="n">
        <v>0.08</v>
      </c>
      <c r="F36" s="13" t="n">
        <v>0.25</v>
      </c>
      <c r="G36" s="8" t="s">
        <v>95</v>
      </c>
      <c r="H36" s="8" t="s">
        <v>42</v>
      </c>
      <c r="I36" s="8"/>
      <c r="J36" s="8" t="s">
        <v>43</v>
      </c>
      <c r="K36" s="8" t="s">
        <v>165</v>
      </c>
      <c r="L36" s="8" t="s">
        <v>45</v>
      </c>
      <c r="M36" s="10" t="s">
        <v>46</v>
      </c>
      <c r="N36" s="10" t="s">
        <v>47</v>
      </c>
    </row>
    <row r="37" customFormat="false" ht="23.25" hidden="false" customHeight="true" outlineLevel="0" collapsed="false">
      <c r="A37" s="8" t="s">
        <v>166</v>
      </c>
      <c r="B37" s="8" t="s">
        <v>149</v>
      </c>
      <c r="C37" s="8" t="s">
        <v>167</v>
      </c>
      <c r="D37" s="11" t="n">
        <v>1</v>
      </c>
      <c r="E37" s="11" t="n">
        <v>1.2</v>
      </c>
      <c r="F37" s="11" t="n">
        <v>1.4</v>
      </c>
      <c r="G37" s="8" t="s">
        <v>54</v>
      </c>
      <c r="H37" s="8" t="s">
        <v>42</v>
      </c>
      <c r="I37" s="8"/>
      <c r="J37" s="8" t="s">
        <v>43</v>
      </c>
      <c r="K37" s="8" t="s">
        <v>168</v>
      </c>
      <c r="L37" s="8" t="s">
        <v>169</v>
      </c>
      <c r="M37" s="10" t="s">
        <v>46</v>
      </c>
      <c r="N37" s="10" t="s">
        <v>170</v>
      </c>
    </row>
    <row r="38" customFormat="false" ht="15" hidden="false" customHeight="true" outlineLevel="0" collapsed="false">
      <c r="A38" s="8" t="s">
        <v>171</v>
      </c>
      <c r="B38" s="8" t="s">
        <v>149</v>
      </c>
      <c r="C38" s="8" t="s">
        <v>172</v>
      </c>
      <c r="D38" s="12" t="n">
        <v>10</v>
      </c>
      <c r="E38" s="12" t="n">
        <v>15</v>
      </c>
      <c r="F38" s="12" t="n">
        <v>20</v>
      </c>
      <c r="G38" s="8" t="s">
        <v>66</v>
      </c>
      <c r="H38" s="8" t="s">
        <v>42</v>
      </c>
      <c r="I38" s="8"/>
      <c r="J38" s="8" t="s">
        <v>43</v>
      </c>
      <c r="K38" s="8" t="s">
        <v>173</v>
      </c>
      <c r="L38" s="8" t="s">
        <v>45</v>
      </c>
      <c r="M38" s="10" t="s">
        <v>46</v>
      </c>
      <c r="N38" s="10" t="s">
        <v>47</v>
      </c>
    </row>
    <row r="39" customFormat="false" ht="15" hidden="false" customHeight="true" outlineLevel="0" collapsed="false">
      <c r="A39" s="8" t="s">
        <v>174</v>
      </c>
      <c r="B39" s="8" t="s">
        <v>175</v>
      </c>
      <c r="C39" s="8" t="s">
        <v>176</v>
      </c>
      <c r="D39" s="14" t="n">
        <v>14</v>
      </c>
      <c r="E39" s="14" t="n">
        <v>30</v>
      </c>
      <c r="F39" s="14" t="n">
        <v>60</v>
      </c>
      <c r="G39" s="8" t="s">
        <v>108</v>
      </c>
      <c r="H39" s="8" t="s">
        <v>42</v>
      </c>
      <c r="I39" s="8" t="s">
        <v>177</v>
      </c>
      <c r="J39" s="8" t="s">
        <v>97</v>
      </c>
      <c r="K39" s="8" t="s">
        <v>178</v>
      </c>
      <c r="L39" s="8" t="s">
        <v>45</v>
      </c>
      <c r="M39" s="10" t="s">
        <v>46</v>
      </c>
      <c r="N39" s="10" t="s">
        <v>47</v>
      </c>
    </row>
    <row r="40" customFormat="false" ht="15" hidden="false" customHeight="true" outlineLevel="0" collapsed="false">
      <c r="A40" s="8" t="s">
        <v>179</v>
      </c>
      <c r="B40" s="8" t="s">
        <v>175</v>
      </c>
      <c r="C40" s="8" t="s">
        <v>180</v>
      </c>
      <c r="D40" s="14" t="n">
        <v>60</v>
      </c>
      <c r="E40" s="14" t="n">
        <v>110</v>
      </c>
      <c r="F40" s="14" t="n">
        <v>180</v>
      </c>
      <c r="G40" s="8" t="s">
        <v>108</v>
      </c>
      <c r="H40" s="8" t="s">
        <v>42</v>
      </c>
      <c r="I40" s="8" t="s">
        <v>181</v>
      </c>
      <c r="J40" s="8" t="s">
        <v>97</v>
      </c>
      <c r="K40" s="8" t="s">
        <v>182</v>
      </c>
      <c r="L40" s="8" t="s">
        <v>45</v>
      </c>
      <c r="M40" s="10" t="s">
        <v>46</v>
      </c>
      <c r="N40" s="10" t="s">
        <v>47</v>
      </c>
    </row>
    <row r="41" customFormat="false" ht="15" hidden="false" customHeight="true" outlineLevel="0" collapsed="false">
      <c r="A41" s="8" t="s">
        <v>183</v>
      </c>
      <c r="B41" s="8" t="s">
        <v>175</v>
      </c>
      <c r="C41" s="8" t="s">
        <v>184</v>
      </c>
      <c r="D41" s="14" t="n">
        <v>25</v>
      </c>
      <c r="E41" s="14" t="n">
        <v>45</v>
      </c>
      <c r="F41" s="14" t="n">
        <v>75</v>
      </c>
      <c r="G41" s="8" t="s">
        <v>108</v>
      </c>
      <c r="H41" s="8" t="s">
        <v>42</v>
      </c>
      <c r="I41" s="8" t="s">
        <v>185</v>
      </c>
      <c r="J41" s="8" t="s">
        <v>114</v>
      </c>
      <c r="K41" s="8" t="s">
        <v>186</v>
      </c>
      <c r="L41" s="8" t="s">
        <v>45</v>
      </c>
      <c r="M41" s="10" t="s">
        <v>46</v>
      </c>
      <c r="N41" s="10" t="s">
        <v>47</v>
      </c>
    </row>
    <row r="42" customFormat="false" ht="15" hidden="false" customHeight="true" outlineLevel="0" collapsed="false">
      <c r="A42" s="8" t="s">
        <v>187</v>
      </c>
      <c r="B42" s="8" t="s">
        <v>175</v>
      </c>
      <c r="C42" s="8" t="s">
        <v>188</v>
      </c>
      <c r="D42" s="14" t="n">
        <v>30</v>
      </c>
      <c r="E42" s="14" t="n">
        <v>60</v>
      </c>
      <c r="F42" s="14" t="n">
        <v>90</v>
      </c>
      <c r="G42" s="8" t="s">
        <v>108</v>
      </c>
      <c r="H42" s="8" t="s">
        <v>42</v>
      </c>
      <c r="I42" s="8" t="s">
        <v>185</v>
      </c>
      <c r="J42" s="8" t="s">
        <v>114</v>
      </c>
      <c r="K42" s="8" t="s">
        <v>189</v>
      </c>
      <c r="L42" s="8" t="s">
        <v>45</v>
      </c>
      <c r="M42" s="10" t="s">
        <v>46</v>
      </c>
      <c r="N42" s="10" t="s">
        <v>47</v>
      </c>
    </row>
    <row r="43" customFormat="false" ht="15" hidden="false" customHeight="true" outlineLevel="0" collapsed="false">
      <c r="A43" s="8" t="s">
        <v>190</v>
      </c>
      <c r="B43" s="8" t="s">
        <v>175</v>
      </c>
      <c r="C43" s="8" t="s">
        <v>191</v>
      </c>
      <c r="D43" s="14" t="n">
        <v>30</v>
      </c>
      <c r="E43" s="14" t="n">
        <v>50</v>
      </c>
      <c r="F43" s="14" t="n">
        <v>90</v>
      </c>
      <c r="G43" s="8" t="s">
        <v>108</v>
      </c>
      <c r="H43" s="8" t="s">
        <v>42</v>
      </c>
      <c r="I43" s="8" t="s">
        <v>192</v>
      </c>
      <c r="J43" s="8" t="s">
        <v>97</v>
      </c>
      <c r="K43" s="8" t="s">
        <v>193</v>
      </c>
      <c r="L43" s="8" t="s">
        <v>45</v>
      </c>
      <c r="M43" s="10" t="s">
        <v>46</v>
      </c>
      <c r="N43" s="10" t="s">
        <v>47</v>
      </c>
    </row>
    <row r="44" customFormat="false" ht="23.25" hidden="false" customHeight="true" outlineLevel="0" collapsed="false">
      <c r="A44" s="8" t="s">
        <v>194</v>
      </c>
      <c r="B44" s="8" t="s">
        <v>175</v>
      </c>
      <c r="C44" s="8" t="s">
        <v>195</v>
      </c>
      <c r="D44" s="13" t="n">
        <v>0.5</v>
      </c>
      <c r="E44" s="13" t="n">
        <v>0.6</v>
      </c>
      <c r="F44" s="13" t="n">
        <v>0.7</v>
      </c>
      <c r="G44" s="8" t="s">
        <v>95</v>
      </c>
      <c r="H44" s="8" t="s">
        <v>42</v>
      </c>
      <c r="I44" s="8" t="s">
        <v>177</v>
      </c>
      <c r="J44" s="8" t="s">
        <v>97</v>
      </c>
      <c r="K44" s="8" t="s">
        <v>196</v>
      </c>
      <c r="L44" s="8" t="s">
        <v>45</v>
      </c>
      <c r="M44" s="10" t="s">
        <v>46</v>
      </c>
      <c r="N44" s="10" t="s">
        <v>47</v>
      </c>
    </row>
    <row r="45" customFormat="false" ht="15" hidden="false" customHeight="true" outlineLevel="0" collapsed="false">
      <c r="A45" s="8" t="s">
        <v>197</v>
      </c>
      <c r="B45" s="8" t="s">
        <v>175</v>
      </c>
      <c r="C45" s="8" t="s">
        <v>198</v>
      </c>
      <c r="D45" s="12" t="n">
        <v>3</v>
      </c>
      <c r="E45" s="12" t="n">
        <v>4</v>
      </c>
      <c r="F45" s="12" t="n">
        <v>6</v>
      </c>
      <c r="G45" s="8" t="s">
        <v>66</v>
      </c>
      <c r="H45" s="8" t="s">
        <v>42</v>
      </c>
      <c r="I45" s="8"/>
      <c r="J45" s="8" t="s">
        <v>43</v>
      </c>
      <c r="K45" s="8" t="s">
        <v>199</v>
      </c>
      <c r="L45" s="8" t="s">
        <v>45</v>
      </c>
      <c r="M45" s="10" t="s">
        <v>46</v>
      </c>
      <c r="N45" s="10" t="s">
        <v>47</v>
      </c>
    </row>
    <row r="46" customFormat="false" ht="15" hidden="false" customHeight="true" outlineLevel="0" collapsed="false">
      <c r="A46" s="8" t="s">
        <v>200</v>
      </c>
      <c r="B46" s="8" t="s">
        <v>175</v>
      </c>
      <c r="C46" s="8" t="s">
        <v>201</v>
      </c>
      <c r="D46" s="13" t="n">
        <v>0.1</v>
      </c>
      <c r="E46" s="13" t="n">
        <v>0.15</v>
      </c>
      <c r="F46" s="13" t="n">
        <v>0.25</v>
      </c>
      <c r="G46" s="8" t="s">
        <v>95</v>
      </c>
      <c r="H46" s="8" t="s">
        <v>42</v>
      </c>
      <c r="I46" s="8"/>
      <c r="J46" s="8" t="s">
        <v>43</v>
      </c>
      <c r="K46" s="8" t="s">
        <v>202</v>
      </c>
      <c r="L46" s="8" t="s">
        <v>45</v>
      </c>
      <c r="M46" s="10" t="s">
        <v>46</v>
      </c>
      <c r="N46" s="10" t="s">
        <v>47</v>
      </c>
    </row>
    <row r="47" customFormat="false" ht="15" hidden="false" customHeight="true" outlineLevel="0" collapsed="false">
      <c r="A47" s="8" t="s">
        <v>203</v>
      </c>
      <c r="B47" s="8" t="s">
        <v>175</v>
      </c>
      <c r="C47" s="8" t="s">
        <v>204</v>
      </c>
      <c r="D47" s="13" t="n">
        <v>0.1</v>
      </c>
      <c r="E47" s="13" t="n">
        <v>0.2</v>
      </c>
      <c r="F47" s="13" t="n">
        <v>0.3</v>
      </c>
      <c r="G47" s="8" t="s">
        <v>95</v>
      </c>
      <c r="H47" s="8" t="s">
        <v>42</v>
      </c>
      <c r="I47" s="8"/>
      <c r="J47" s="8" t="s">
        <v>43</v>
      </c>
      <c r="K47" s="8" t="s">
        <v>205</v>
      </c>
      <c r="L47" s="8" t="s">
        <v>45</v>
      </c>
      <c r="M47" s="10" t="s">
        <v>46</v>
      </c>
      <c r="N47" s="10" t="s">
        <v>47</v>
      </c>
    </row>
    <row r="48" customFormat="false" ht="15" hidden="false" customHeight="true" outlineLevel="0" collapsed="false">
      <c r="A48" s="8" t="s">
        <v>206</v>
      </c>
      <c r="B48" s="8" t="s">
        <v>175</v>
      </c>
      <c r="C48" s="8" t="s">
        <v>207</v>
      </c>
      <c r="D48" s="11" t="n">
        <v>1</v>
      </c>
      <c r="E48" s="11" t="n">
        <v>2.5</v>
      </c>
      <c r="F48" s="11" t="n">
        <v>4</v>
      </c>
      <c r="G48" s="8" t="s">
        <v>54</v>
      </c>
      <c r="H48" s="8" t="s">
        <v>42</v>
      </c>
      <c r="I48" s="8"/>
      <c r="J48" s="8" t="s">
        <v>43</v>
      </c>
      <c r="K48" s="8" t="s">
        <v>208</v>
      </c>
      <c r="L48" s="8" t="s">
        <v>45</v>
      </c>
      <c r="M48" s="10" t="s">
        <v>46</v>
      </c>
      <c r="N48" s="10" t="s">
        <v>47</v>
      </c>
    </row>
    <row r="49" customFormat="false" ht="23.25" hidden="false" customHeight="true" outlineLevel="0" collapsed="false">
      <c r="A49" s="8" t="s">
        <v>209</v>
      </c>
      <c r="B49" s="8" t="s">
        <v>175</v>
      </c>
      <c r="C49" s="8" t="s">
        <v>210</v>
      </c>
      <c r="D49" s="13" t="n">
        <v>0.16</v>
      </c>
      <c r="E49" s="13" t="n">
        <v>0.16</v>
      </c>
      <c r="F49" s="13" t="n">
        <v>0.16</v>
      </c>
      <c r="G49" s="8" t="s">
        <v>95</v>
      </c>
      <c r="H49" s="8" t="s">
        <v>211</v>
      </c>
      <c r="I49" s="8" t="s">
        <v>212</v>
      </c>
      <c r="J49" s="8" t="s">
        <v>213</v>
      </c>
      <c r="K49" s="8" t="s">
        <v>214</v>
      </c>
      <c r="L49" s="8" t="s">
        <v>215</v>
      </c>
      <c r="M49" s="10" t="s">
        <v>46</v>
      </c>
      <c r="N49" s="10" t="s">
        <v>216</v>
      </c>
    </row>
    <row r="50" customFormat="false" ht="15" hidden="false" customHeight="true" outlineLevel="0" collapsed="false">
      <c r="A50" s="8" t="s">
        <v>217</v>
      </c>
      <c r="B50" s="8" t="s">
        <v>218</v>
      </c>
      <c r="C50" s="8" t="s">
        <v>219</v>
      </c>
      <c r="D50" s="12" t="n">
        <v>8</v>
      </c>
      <c r="E50" s="12" t="n">
        <v>10</v>
      </c>
      <c r="F50" s="12" t="n">
        <v>14</v>
      </c>
      <c r="G50" s="8" t="s">
        <v>66</v>
      </c>
      <c r="H50" s="8" t="s">
        <v>42</v>
      </c>
      <c r="I50" s="8"/>
      <c r="J50" s="8" t="s">
        <v>43</v>
      </c>
      <c r="K50" s="8" t="s">
        <v>220</v>
      </c>
      <c r="L50" s="8" t="s">
        <v>45</v>
      </c>
      <c r="M50" s="10" t="s">
        <v>46</v>
      </c>
      <c r="N50" s="10" t="s">
        <v>47</v>
      </c>
    </row>
    <row r="51" customFormat="false" ht="15" hidden="false" customHeight="true" outlineLevel="0" collapsed="false">
      <c r="A51" s="8" t="s">
        <v>221</v>
      </c>
      <c r="B51" s="8" t="s">
        <v>222</v>
      </c>
      <c r="C51" s="8" t="s">
        <v>223</v>
      </c>
      <c r="D51" s="12" t="n">
        <v>8</v>
      </c>
      <c r="E51" s="12" t="n">
        <v>12</v>
      </c>
      <c r="F51" s="12" t="n">
        <v>16</v>
      </c>
      <c r="G51" s="8" t="s">
        <v>66</v>
      </c>
      <c r="H51" s="8" t="s">
        <v>42</v>
      </c>
      <c r="I51" s="8"/>
      <c r="J51" s="8" t="s">
        <v>43</v>
      </c>
      <c r="K51" s="8" t="s">
        <v>224</v>
      </c>
      <c r="L51" s="8" t="s">
        <v>45</v>
      </c>
      <c r="M51" s="10" t="s">
        <v>46</v>
      </c>
      <c r="N51" s="10" t="s">
        <v>47</v>
      </c>
    </row>
    <row r="52" customFormat="false" ht="15" hidden="false" customHeight="true" outlineLevel="0" collapsed="false">
      <c r="A52" s="8" t="s">
        <v>225</v>
      </c>
      <c r="B52" s="8" t="s">
        <v>222</v>
      </c>
      <c r="C52" s="8" t="s">
        <v>226</v>
      </c>
      <c r="D52" s="12" t="n">
        <v>4</v>
      </c>
      <c r="E52" s="12" t="n">
        <v>6</v>
      </c>
      <c r="F52" s="12" t="n">
        <v>8</v>
      </c>
      <c r="G52" s="8" t="s">
        <v>66</v>
      </c>
      <c r="H52" s="8" t="s">
        <v>42</v>
      </c>
      <c r="I52" s="8"/>
      <c r="J52" s="8" t="s">
        <v>43</v>
      </c>
      <c r="K52" s="8" t="s">
        <v>227</v>
      </c>
      <c r="L52" s="8" t="s">
        <v>45</v>
      </c>
      <c r="M52" s="10" t="s">
        <v>46</v>
      </c>
      <c r="N52" s="10" t="s">
        <v>47</v>
      </c>
    </row>
    <row r="53" customFormat="false" ht="15" hidden="false" customHeight="true" outlineLevel="0" collapsed="false">
      <c r="A53" s="8" t="s">
        <v>228</v>
      </c>
      <c r="B53" s="8" t="s">
        <v>222</v>
      </c>
      <c r="C53" s="8" t="s">
        <v>229</v>
      </c>
      <c r="D53" s="12" t="n">
        <v>4</v>
      </c>
      <c r="E53" s="12" t="n">
        <v>6</v>
      </c>
      <c r="F53" s="12" t="n">
        <v>10</v>
      </c>
      <c r="G53" s="8" t="s">
        <v>66</v>
      </c>
      <c r="H53" s="8" t="s">
        <v>42</v>
      </c>
      <c r="I53" s="8"/>
      <c r="J53" s="8" t="s">
        <v>43</v>
      </c>
      <c r="K53" s="8" t="s">
        <v>230</v>
      </c>
      <c r="L53" s="8" t="s">
        <v>45</v>
      </c>
      <c r="M53" s="10" t="s">
        <v>46</v>
      </c>
      <c r="N53" s="10" t="s">
        <v>47</v>
      </c>
    </row>
    <row r="54" customFormat="false" ht="15" hidden="false" customHeight="true" outlineLevel="0" collapsed="false">
      <c r="A54" s="8" t="s">
        <v>231</v>
      </c>
      <c r="B54" s="8" t="s">
        <v>222</v>
      </c>
      <c r="C54" s="8" t="s">
        <v>232</v>
      </c>
      <c r="D54" s="12" t="n">
        <v>5</v>
      </c>
      <c r="E54" s="12" t="n">
        <v>8</v>
      </c>
      <c r="F54" s="12" t="n">
        <v>12</v>
      </c>
      <c r="G54" s="8" t="s">
        <v>66</v>
      </c>
      <c r="H54" s="8" t="s">
        <v>42</v>
      </c>
      <c r="I54" s="8"/>
      <c r="J54" s="8" t="s">
        <v>43</v>
      </c>
      <c r="K54" s="8" t="s">
        <v>233</v>
      </c>
      <c r="L54" s="8" t="s">
        <v>45</v>
      </c>
      <c r="M54" s="10" t="s">
        <v>46</v>
      </c>
      <c r="N54" s="10" t="s">
        <v>47</v>
      </c>
    </row>
    <row r="55" customFormat="false" ht="15" hidden="false" customHeight="true" outlineLevel="0" collapsed="false">
      <c r="A55" s="8" t="s">
        <v>234</v>
      </c>
      <c r="B55" s="8" t="s">
        <v>222</v>
      </c>
      <c r="C55" s="8" t="s">
        <v>235</v>
      </c>
      <c r="D55" s="12" t="n">
        <v>3</v>
      </c>
      <c r="E55" s="12" t="n">
        <v>5</v>
      </c>
      <c r="F55" s="12" t="n">
        <v>8</v>
      </c>
      <c r="G55" s="8" t="s">
        <v>66</v>
      </c>
      <c r="H55" s="8" t="s">
        <v>42</v>
      </c>
      <c r="I55" s="8"/>
      <c r="J55" s="8" t="s">
        <v>43</v>
      </c>
      <c r="K55" s="8" t="s">
        <v>236</v>
      </c>
      <c r="L55" s="8" t="s">
        <v>45</v>
      </c>
      <c r="M55" s="10" t="s">
        <v>46</v>
      </c>
      <c r="N55" s="10" t="s">
        <v>47</v>
      </c>
    </row>
    <row r="56" customFormat="false" ht="34.5" hidden="false" customHeight="true" outlineLevel="0" collapsed="false">
      <c r="A56" s="8" t="s">
        <v>237</v>
      </c>
      <c r="B56" s="8" t="s">
        <v>238</v>
      </c>
      <c r="C56" s="8" t="s">
        <v>239</v>
      </c>
      <c r="D56" s="8"/>
      <c r="E56" s="13" t="n">
        <v>0.2</v>
      </c>
      <c r="F56" s="8"/>
      <c r="G56" s="8" t="s">
        <v>95</v>
      </c>
      <c r="H56" s="8" t="s">
        <v>42</v>
      </c>
      <c r="I56" s="8"/>
      <c r="J56" s="8" t="s">
        <v>43</v>
      </c>
      <c r="K56" s="8" t="s">
        <v>240</v>
      </c>
      <c r="L56" s="8" t="s">
        <v>241</v>
      </c>
      <c r="M56" s="10" t="s">
        <v>46</v>
      </c>
      <c r="N56" s="10" t="s">
        <v>242</v>
      </c>
    </row>
    <row r="57" customFormat="false" ht="34.5" hidden="false" customHeight="true" outlineLevel="0" collapsed="false">
      <c r="A57" s="8" t="s">
        <v>243</v>
      </c>
      <c r="B57" s="8" t="s">
        <v>238</v>
      </c>
      <c r="C57" s="8" t="s">
        <v>244</v>
      </c>
      <c r="D57" s="8"/>
      <c r="E57" s="13" t="n">
        <v>0.25</v>
      </c>
      <c r="F57" s="8"/>
      <c r="G57" s="8" t="s">
        <v>95</v>
      </c>
      <c r="H57" s="8" t="s">
        <v>42</v>
      </c>
      <c r="I57" s="8"/>
      <c r="J57" s="8" t="s">
        <v>43</v>
      </c>
      <c r="K57" s="8" t="s">
        <v>245</v>
      </c>
      <c r="L57" s="8" t="s">
        <v>241</v>
      </c>
      <c r="M57" s="10" t="s">
        <v>46</v>
      </c>
      <c r="N57" s="10" t="s">
        <v>242</v>
      </c>
    </row>
    <row r="58" customFormat="false" ht="34.5" hidden="false" customHeight="true" outlineLevel="0" collapsed="false">
      <c r="A58" s="8" t="s">
        <v>246</v>
      </c>
      <c r="B58" s="8" t="s">
        <v>238</v>
      </c>
      <c r="C58" s="8" t="s">
        <v>247</v>
      </c>
      <c r="D58" s="8"/>
      <c r="E58" s="13" t="n">
        <v>0.15</v>
      </c>
      <c r="F58" s="8"/>
      <c r="G58" s="8" t="s">
        <v>95</v>
      </c>
      <c r="H58" s="8" t="s">
        <v>42</v>
      </c>
      <c r="I58" s="8"/>
      <c r="J58" s="8" t="s">
        <v>43</v>
      </c>
      <c r="K58" s="8" t="s">
        <v>245</v>
      </c>
      <c r="L58" s="8" t="s">
        <v>241</v>
      </c>
      <c r="M58" s="10" t="s">
        <v>46</v>
      </c>
      <c r="N58" s="10" t="s">
        <v>242</v>
      </c>
    </row>
    <row r="59" customFormat="false" ht="34.5" hidden="false" customHeight="true" outlineLevel="0" collapsed="false">
      <c r="A59" s="8" t="s">
        <v>248</v>
      </c>
      <c r="B59" s="8" t="s">
        <v>238</v>
      </c>
      <c r="C59" s="8" t="s">
        <v>249</v>
      </c>
      <c r="D59" s="8"/>
      <c r="E59" s="13" t="n">
        <v>0.12</v>
      </c>
      <c r="F59" s="8"/>
      <c r="G59" s="8" t="s">
        <v>95</v>
      </c>
      <c r="H59" s="8" t="s">
        <v>42</v>
      </c>
      <c r="I59" s="8"/>
      <c r="J59" s="8" t="s">
        <v>43</v>
      </c>
      <c r="K59" s="8" t="s">
        <v>245</v>
      </c>
      <c r="L59" s="8" t="s">
        <v>241</v>
      </c>
      <c r="M59" s="10" t="s">
        <v>46</v>
      </c>
      <c r="N59" s="10" t="s">
        <v>242</v>
      </c>
    </row>
    <row r="60" customFormat="false" ht="34.5" hidden="false" customHeight="true" outlineLevel="0" collapsed="false">
      <c r="A60" s="8" t="s">
        <v>250</v>
      </c>
      <c r="B60" s="8" t="s">
        <v>238</v>
      </c>
      <c r="C60" s="8" t="s">
        <v>251</v>
      </c>
      <c r="D60" s="8"/>
      <c r="E60" s="13" t="n">
        <v>0.1</v>
      </c>
      <c r="F60" s="8"/>
      <c r="G60" s="8" t="s">
        <v>95</v>
      </c>
      <c r="H60" s="8" t="s">
        <v>42</v>
      </c>
      <c r="I60" s="8"/>
      <c r="J60" s="8" t="s">
        <v>43</v>
      </c>
      <c r="K60" s="8" t="s">
        <v>245</v>
      </c>
      <c r="L60" s="8" t="s">
        <v>241</v>
      </c>
      <c r="M60" s="10" t="s">
        <v>46</v>
      </c>
      <c r="N60" s="10" t="s">
        <v>242</v>
      </c>
    </row>
    <row r="61" customFormat="false" ht="34.5" hidden="false" customHeight="true" outlineLevel="0" collapsed="false">
      <c r="A61" s="8" t="s">
        <v>252</v>
      </c>
      <c r="B61" s="8" t="s">
        <v>238</v>
      </c>
      <c r="C61" s="8" t="s">
        <v>253</v>
      </c>
      <c r="D61" s="8"/>
      <c r="E61" s="13" t="n">
        <v>0.1</v>
      </c>
      <c r="F61" s="8"/>
      <c r="G61" s="8" t="s">
        <v>95</v>
      </c>
      <c r="H61" s="8" t="s">
        <v>42</v>
      </c>
      <c r="I61" s="8"/>
      <c r="J61" s="8" t="s">
        <v>43</v>
      </c>
      <c r="K61" s="8" t="s">
        <v>245</v>
      </c>
      <c r="L61" s="8" t="s">
        <v>241</v>
      </c>
      <c r="M61" s="10" t="s">
        <v>46</v>
      </c>
      <c r="N61" s="10" t="s">
        <v>242</v>
      </c>
    </row>
    <row r="62" customFormat="false" ht="34.5" hidden="false" customHeight="true" outlineLevel="0" collapsed="false">
      <c r="A62" s="8" t="s">
        <v>254</v>
      </c>
      <c r="B62" s="8" t="s">
        <v>238</v>
      </c>
      <c r="C62" s="8" t="s">
        <v>255</v>
      </c>
      <c r="D62" s="8"/>
      <c r="E62" s="13" t="n">
        <v>0.08</v>
      </c>
      <c r="F62" s="8"/>
      <c r="G62" s="8" t="s">
        <v>95</v>
      </c>
      <c r="H62" s="8" t="s">
        <v>42</v>
      </c>
      <c r="I62" s="8"/>
      <c r="J62" s="8" t="s">
        <v>43</v>
      </c>
      <c r="K62" s="8" t="s">
        <v>256</v>
      </c>
      <c r="L62" s="8" t="s">
        <v>241</v>
      </c>
      <c r="M62" s="10" t="s">
        <v>46</v>
      </c>
      <c r="N62" s="10" t="s">
        <v>242</v>
      </c>
    </row>
    <row r="63" customFormat="false" ht="34.5" hidden="false" customHeight="true" outlineLevel="0" collapsed="false">
      <c r="A63" s="8" t="s">
        <v>257</v>
      </c>
      <c r="B63" s="8" t="s">
        <v>238</v>
      </c>
      <c r="C63" s="8" t="s">
        <v>258</v>
      </c>
      <c r="D63" s="8"/>
      <c r="E63" s="13" t="n">
        <v>0.2</v>
      </c>
      <c r="F63" s="8"/>
      <c r="G63" s="8" t="s">
        <v>95</v>
      </c>
      <c r="H63" s="8" t="s">
        <v>42</v>
      </c>
      <c r="I63" s="8" t="s">
        <v>177</v>
      </c>
      <c r="J63" s="8" t="s">
        <v>97</v>
      </c>
      <c r="K63" s="8" t="s">
        <v>259</v>
      </c>
      <c r="L63" s="8" t="s">
        <v>241</v>
      </c>
      <c r="M63" s="10" t="s">
        <v>46</v>
      </c>
      <c r="N63" s="10" t="s">
        <v>242</v>
      </c>
    </row>
    <row r="64" customFormat="false" ht="34.5" hidden="false" customHeight="true" outlineLevel="0" collapsed="false">
      <c r="A64" s="8" t="s">
        <v>260</v>
      </c>
      <c r="B64" s="8" t="s">
        <v>238</v>
      </c>
      <c r="C64" s="8" t="s">
        <v>261</v>
      </c>
      <c r="D64" s="8"/>
      <c r="E64" s="13" t="n">
        <v>0.6</v>
      </c>
      <c r="F64" s="8"/>
      <c r="G64" s="8" t="s">
        <v>95</v>
      </c>
      <c r="H64" s="8" t="s">
        <v>42</v>
      </c>
      <c r="I64" s="8" t="s">
        <v>177</v>
      </c>
      <c r="J64" s="8" t="s">
        <v>97</v>
      </c>
      <c r="K64" s="8" t="s">
        <v>259</v>
      </c>
      <c r="L64" s="8" t="s">
        <v>241</v>
      </c>
      <c r="M64" s="10" t="s">
        <v>46</v>
      </c>
      <c r="N64" s="10" t="s">
        <v>242</v>
      </c>
    </row>
    <row r="65" customFormat="false" ht="34.5" hidden="false" customHeight="true" outlineLevel="0" collapsed="false">
      <c r="A65" s="8" t="s">
        <v>262</v>
      </c>
      <c r="B65" s="8" t="s">
        <v>238</v>
      </c>
      <c r="C65" s="8" t="s">
        <v>263</v>
      </c>
      <c r="D65" s="8"/>
      <c r="E65" s="13" t="n">
        <v>0.2</v>
      </c>
      <c r="F65" s="8"/>
      <c r="G65" s="8" t="s">
        <v>95</v>
      </c>
      <c r="H65" s="8" t="s">
        <v>42</v>
      </c>
      <c r="I65" s="8" t="s">
        <v>177</v>
      </c>
      <c r="J65" s="8" t="s">
        <v>97</v>
      </c>
      <c r="K65" s="8" t="s">
        <v>264</v>
      </c>
      <c r="L65" s="8" t="s">
        <v>241</v>
      </c>
      <c r="M65" s="10" t="s">
        <v>46</v>
      </c>
      <c r="N65" s="10" t="s">
        <v>242</v>
      </c>
    </row>
    <row r="66" customFormat="false" ht="34.5" hidden="false" customHeight="true" outlineLevel="0" collapsed="false">
      <c r="A66" s="8" t="s">
        <v>265</v>
      </c>
      <c r="B66" s="8" t="s">
        <v>238</v>
      </c>
      <c r="C66" s="8" t="s">
        <v>266</v>
      </c>
      <c r="D66" s="8"/>
      <c r="E66" s="9" t="s">
        <v>267</v>
      </c>
      <c r="F66" s="8"/>
      <c r="G66" s="8" t="s">
        <v>41</v>
      </c>
      <c r="H66" s="8" t="s">
        <v>42</v>
      </c>
      <c r="I66" s="8"/>
      <c r="J66" s="8" t="s">
        <v>43</v>
      </c>
      <c r="K66" s="8" t="s">
        <v>268</v>
      </c>
      <c r="L66" s="8" t="s">
        <v>241</v>
      </c>
      <c r="M66" s="10" t="s">
        <v>46</v>
      </c>
      <c r="N66" s="10" t="s">
        <v>242</v>
      </c>
    </row>
    <row r="67" customFormat="false" ht="34.5" hidden="false" customHeight="true" outlineLevel="0" collapsed="false">
      <c r="A67" s="8" t="s">
        <v>269</v>
      </c>
      <c r="B67" s="8" t="s">
        <v>238</v>
      </c>
      <c r="C67" s="8" t="s">
        <v>270</v>
      </c>
      <c r="D67" s="8"/>
      <c r="E67" s="9" t="s">
        <v>271</v>
      </c>
      <c r="F67" s="8"/>
      <c r="G67" s="8" t="s">
        <v>41</v>
      </c>
      <c r="H67" s="8" t="s">
        <v>42</v>
      </c>
      <c r="I67" s="8"/>
      <c r="J67" s="8" t="s">
        <v>43</v>
      </c>
      <c r="K67" s="8" t="s">
        <v>272</v>
      </c>
      <c r="L67" s="8" t="s">
        <v>241</v>
      </c>
      <c r="M67" s="10" t="s">
        <v>46</v>
      </c>
      <c r="N67" s="10" t="s">
        <v>242</v>
      </c>
    </row>
    <row r="68" customFormat="false" ht="34.5" hidden="false" customHeight="true" outlineLevel="0" collapsed="false">
      <c r="A68" s="8" t="s">
        <v>273</v>
      </c>
      <c r="B68" s="8" t="s">
        <v>238</v>
      </c>
      <c r="C68" s="8" t="s">
        <v>274</v>
      </c>
      <c r="D68" s="8"/>
      <c r="E68" s="9" t="s">
        <v>275</v>
      </c>
      <c r="F68" s="8"/>
      <c r="G68" s="8" t="s">
        <v>41</v>
      </c>
      <c r="H68" s="8" t="s">
        <v>42</v>
      </c>
      <c r="I68" s="8"/>
      <c r="J68" s="8" t="s">
        <v>43</v>
      </c>
      <c r="K68" s="8" t="s">
        <v>276</v>
      </c>
      <c r="L68" s="8" t="s">
        <v>241</v>
      </c>
      <c r="M68" s="10" t="s">
        <v>46</v>
      </c>
      <c r="N68" s="10" t="s">
        <v>242</v>
      </c>
    </row>
    <row r="69" customFormat="false" ht="45.75" hidden="false" customHeight="true" outlineLevel="0" collapsed="false">
      <c r="A69" s="8" t="s">
        <v>277</v>
      </c>
      <c r="B69" s="8" t="s">
        <v>238</v>
      </c>
      <c r="C69" s="8" t="s">
        <v>278</v>
      </c>
      <c r="D69" s="8"/>
      <c r="E69" s="9" t="s">
        <v>279</v>
      </c>
      <c r="F69" s="8"/>
      <c r="G69" s="8" t="s">
        <v>41</v>
      </c>
      <c r="H69" s="8" t="s">
        <v>42</v>
      </c>
      <c r="I69" s="8"/>
      <c r="J69" s="8" t="s">
        <v>43</v>
      </c>
      <c r="K69" s="8" t="s">
        <v>280</v>
      </c>
      <c r="L69" s="8" t="s">
        <v>241</v>
      </c>
      <c r="M69" s="10" t="s">
        <v>46</v>
      </c>
      <c r="N69" s="10" t="s">
        <v>242</v>
      </c>
    </row>
    <row r="70" customFormat="false" ht="34.5" hidden="false" customHeight="true" outlineLevel="0" collapsed="false">
      <c r="A70" s="8" t="s">
        <v>281</v>
      </c>
      <c r="B70" s="8" t="s">
        <v>282</v>
      </c>
      <c r="C70" s="8" t="s">
        <v>283</v>
      </c>
      <c r="D70" s="11" t="n">
        <v>100</v>
      </c>
      <c r="E70" s="11" t="n">
        <v>200</v>
      </c>
      <c r="F70" s="11" t="n">
        <v>300</v>
      </c>
      <c r="G70" s="8" t="s">
        <v>54</v>
      </c>
      <c r="H70" s="8" t="s">
        <v>42</v>
      </c>
      <c r="I70" s="8"/>
      <c r="J70" s="8" t="s">
        <v>43</v>
      </c>
      <c r="K70" s="8" t="s">
        <v>284</v>
      </c>
      <c r="L70" s="8" t="s">
        <v>285</v>
      </c>
      <c r="M70" s="10" t="s">
        <v>46</v>
      </c>
      <c r="N70" s="10" t="s">
        <v>286</v>
      </c>
    </row>
    <row r="71" customFormat="false" ht="34.5" hidden="false" customHeight="true" outlineLevel="0" collapsed="false">
      <c r="A71" s="8" t="s">
        <v>287</v>
      </c>
      <c r="B71" s="8" t="s">
        <v>282</v>
      </c>
      <c r="C71" s="8" t="s">
        <v>288</v>
      </c>
      <c r="D71" s="13" t="n">
        <v>0.03</v>
      </c>
      <c r="E71" s="13" t="n">
        <v>0.05</v>
      </c>
      <c r="F71" s="13" t="n">
        <v>0.08</v>
      </c>
      <c r="G71" s="8" t="s">
        <v>95</v>
      </c>
      <c r="H71" s="8" t="s">
        <v>42</v>
      </c>
      <c r="I71" s="8"/>
      <c r="J71" s="8" t="s">
        <v>43</v>
      </c>
      <c r="K71" s="8" t="s">
        <v>289</v>
      </c>
      <c r="L71" s="8" t="s">
        <v>285</v>
      </c>
      <c r="M71" s="10" t="s">
        <v>46</v>
      </c>
      <c r="N71" s="10" t="s">
        <v>286</v>
      </c>
    </row>
    <row r="72" customFormat="false" ht="34.5" hidden="false" customHeight="true" outlineLevel="0" collapsed="false">
      <c r="A72" s="8" t="s">
        <v>290</v>
      </c>
      <c r="B72" s="8" t="s">
        <v>282</v>
      </c>
      <c r="C72" s="8" t="s">
        <v>291</v>
      </c>
      <c r="D72" s="13" t="n">
        <v>0.02</v>
      </c>
      <c r="E72" s="13" t="n">
        <v>0.03</v>
      </c>
      <c r="F72" s="13" t="n">
        <v>0.05</v>
      </c>
      <c r="G72" s="8" t="s">
        <v>95</v>
      </c>
      <c r="H72" s="8" t="s">
        <v>42</v>
      </c>
      <c r="I72" s="8"/>
      <c r="J72" s="8" t="s">
        <v>43</v>
      </c>
      <c r="K72" s="8" t="s">
        <v>292</v>
      </c>
      <c r="L72" s="8" t="s">
        <v>285</v>
      </c>
      <c r="M72" s="10" t="s">
        <v>46</v>
      </c>
      <c r="N72" s="10" t="s">
        <v>286</v>
      </c>
    </row>
    <row r="73" customFormat="false" ht="34.5" hidden="false" customHeight="true" outlineLevel="0" collapsed="false">
      <c r="A73" s="8" t="s">
        <v>293</v>
      </c>
      <c r="B73" s="8" t="s">
        <v>282</v>
      </c>
      <c r="C73" s="8" t="s">
        <v>294</v>
      </c>
      <c r="D73" s="8"/>
      <c r="E73" s="9" t="s">
        <v>295</v>
      </c>
      <c r="F73" s="8"/>
      <c r="G73" s="8" t="s">
        <v>41</v>
      </c>
      <c r="H73" s="8" t="s">
        <v>42</v>
      </c>
      <c r="I73" s="8"/>
      <c r="J73" s="8" t="s">
        <v>43</v>
      </c>
      <c r="K73" s="8" t="s">
        <v>296</v>
      </c>
      <c r="L73" s="8" t="s">
        <v>285</v>
      </c>
      <c r="M73" s="10" t="s">
        <v>46</v>
      </c>
      <c r="N73" s="10" t="s">
        <v>286</v>
      </c>
    </row>
    <row r="74" customFormat="false" ht="34.5" hidden="false" customHeight="true" outlineLevel="0" collapsed="false">
      <c r="A74" s="8" t="s">
        <v>297</v>
      </c>
      <c r="B74" s="8" t="s">
        <v>282</v>
      </c>
      <c r="C74" s="8" t="s">
        <v>298</v>
      </c>
      <c r="D74" s="8"/>
      <c r="E74" s="9" t="s">
        <v>299</v>
      </c>
      <c r="F74" s="8"/>
      <c r="G74" s="8" t="s">
        <v>41</v>
      </c>
      <c r="H74" s="8" t="s">
        <v>42</v>
      </c>
      <c r="I74" s="8"/>
      <c r="J74" s="8" t="s">
        <v>43</v>
      </c>
      <c r="K74" s="8" t="s">
        <v>300</v>
      </c>
      <c r="L74" s="8" t="s">
        <v>285</v>
      </c>
      <c r="M74" s="10" t="s">
        <v>46</v>
      </c>
      <c r="N74" s="10" t="s">
        <v>286</v>
      </c>
    </row>
    <row r="75" customFormat="false" ht="34.5" hidden="false" customHeight="true" outlineLevel="0" collapsed="false">
      <c r="A75" s="8" t="s">
        <v>301</v>
      </c>
      <c r="B75" s="8" t="s">
        <v>282</v>
      </c>
      <c r="C75" s="8" t="s">
        <v>302</v>
      </c>
      <c r="D75" s="8"/>
      <c r="E75" s="9" t="s">
        <v>303</v>
      </c>
      <c r="F75" s="8"/>
      <c r="G75" s="8" t="s">
        <v>41</v>
      </c>
      <c r="H75" s="8" t="s">
        <v>42</v>
      </c>
      <c r="I75" s="8"/>
      <c r="J75" s="8" t="s">
        <v>43</v>
      </c>
      <c r="K75" s="8" t="s">
        <v>304</v>
      </c>
      <c r="L75" s="8" t="s">
        <v>285</v>
      </c>
      <c r="M75" s="10" t="s">
        <v>46</v>
      </c>
      <c r="N75" s="10" t="s">
        <v>286</v>
      </c>
    </row>
    <row r="76" customFormat="false" ht="79.5" hidden="false" customHeight="true" outlineLevel="0" collapsed="false">
      <c r="A76" s="8" t="s">
        <v>305</v>
      </c>
      <c r="B76" s="8" t="s">
        <v>282</v>
      </c>
      <c r="C76" s="8" t="s">
        <v>306</v>
      </c>
      <c r="D76" s="8"/>
      <c r="E76" s="9" t="s">
        <v>307</v>
      </c>
      <c r="F76" s="8"/>
      <c r="G76" s="8" t="s">
        <v>41</v>
      </c>
      <c r="H76" s="8" t="s">
        <v>42</v>
      </c>
      <c r="I76" s="8"/>
      <c r="J76" s="8" t="s">
        <v>43</v>
      </c>
      <c r="K76" s="8" t="s">
        <v>308</v>
      </c>
      <c r="L76" s="8" t="s">
        <v>285</v>
      </c>
      <c r="M76" s="10" t="s">
        <v>46</v>
      </c>
      <c r="N76" s="10" t="s">
        <v>286</v>
      </c>
    </row>
    <row r="77" customFormat="false" ht="34.5" hidden="false" customHeight="true" outlineLevel="0" collapsed="false">
      <c r="A77" s="8" t="s">
        <v>309</v>
      </c>
      <c r="B77" s="8" t="s">
        <v>310</v>
      </c>
      <c r="C77" s="8" t="s">
        <v>311</v>
      </c>
      <c r="D77" s="13" t="n">
        <v>0.1</v>
      </c>
      <c r="E77" s="13" t="n">
        <v>0.2</v>
      </c>
      <c r="F77" s="13" t="n">
        <v>0.3</v>
      </c>
      <c r="G77" s="8" t="s">
        <v>95</v>
      </c>
      <c r="H77" s="8" t="s">
        <v>42</v>
      </c>
      <c r="I77" s="8"/>
      <c r="J77" s="8" t="s">
        <v>43</v>
      </c>
      <c r="K77" s="8" t="s">
        <v>312</v>
      </c>
      <c r="L77" s="8" t="s">
        <v>313</v>
      </c>
      <c r="M77" s="10" t="s">
        <v>46</v>
      </c>
      <c r="N77" s="10" t="s">
        <v>314</v>
      </c>
    </row>
    <row r="78" customFormat="false" ht="34.5" hidden="false" customHeight="true" outlineLevel="0" collapsed="false">
      <c r="A78" s="8" t="s">
        <v>315</v>
      </c>
      <c r="B78" s="8" t="s">
        <v>310</v>
      </c>
      <c r="C78" s="8" t="s">
        <v>316</v>
      </c>
      <c r="D78" s="13" t="n">
        <v>0.6</v>
      </c>
      <c r="E78" s="13" t="n">
        <v>0.7</v>
      </c>
      <c r="F78" s="13" t="n">
        <v>0.8</v>
      </c>
      <c r="G78" s="8" t="s">
        <v>95</v>
      </c>
      <c r="H78" s="8" t="s">
        <v>42</v>
      </c>
      <c r="I78" s="8"/>
      <c r="J78" s="8" t="s">
        <v>43</v>
      </c>
      <c r="K78" s="8" t="s">
        <v>317</v>
      </c>
      <c r="L78" s="8" t="s">
        <v>313</v>
      </c>
      <c r="M78" s="10" t="s">
        <v>46</v>
      </c>
      <c r="N78" s="10" t="s">
        <v>314</v>
      </c>
    </row>
    <row r="79" customFormat="false" ht="34.5" hidden="false" customHeight="true" outlineLevel="0" collapsed="false">
      <c r="A79" s="8" t="s">
        <v>318</v>
      </c>
      <c r="B79" s="8" t="s">
        <v>222</v>
      </c>
      <c r="C79" s="8" t="s">
        <v>319</v>
      </c>
      <c r="D79" s="13" t="n">
        <v>0.2</v>
      </c>
      <c r="E79" s="13" t="n">
        <v>0.3</v>
      </c>
      <c r="F79" s="13" t="n">
        <v>0.5</v>
      </c>
      <c r="G79" s="8" t="s">
        <v>95</v>
      </c>
      <c r="H79" s="8" t="s">
        <v>42</v>
      </c>
      <c r="I79" s="8"/>
      <c r="J79" s="8" t="s">
        <v>43</v>
      </c>
      <c r="K79" s="8" t="s">
        <v>320</v>
      </c>
      <c r="L79" s="8" t="s">
        <v>313</v>
      </c>
      <c r="M79" s="10" t="s">
        <v>46</v>
      </c>
      <c r="N79" s="10" t="s">
        <v>314</v>
      </c>
    </row>
    <row r="80" customFormat="false" ht="34.5" hidden="false" customHeight="true" outlineLevel="0" collapsed="false">
      <c r="A80" s="8" t="s">
        <v>321</v>
      </c>
      <c r="B80" s="8" t="s">
        <v>310</v>
      </c>
      <c r="C80" s="8" t="s">
        <v>322</v>
      </c>
      <c r="D80" s="13" t="n">
        <v>-0.05</v>
      </c>
      <c r="E80" s="13" t="n">
        <v>0</v>
      </c>
      <c r="F80" s="13" t="n">
        <v>0.05</v>
      </c>
      <c r="G80" s="8" t="s">
        <v>95</v>
      </c>
      <c r="H80" s="8" t="s">
        <v>42</v>
      </c>
      <c r="I80" s="8"/>
      <c r="J80" s="8" t="s">
        <v>43</v>
      </c>
      <c r="K80" s="8" t="s">
        <v>323</v>
      </c>
      <c r="L80" s="8" t="s">
        <v>313</v>
      </c>
      <c r="M80" s="10" t="s">
        <v>46</v>
      </c>
      <c r="N80" s="10" t="s">
        <v>314</v>
      </c>
    </row>
    <row r="81" customFormat="false" ht="34.5" hidden="false" customHeight="true" outlineLevel="0" collapsed="false">
      <c r="A81" s="8" t="s">
        <v>324</v>
      </c>
      <c r="B81" s="8" t="s">
        <v>310</v>
      </c>
      <c r="C81" s="8" t="s">
        <v>325</v>
      </c>
      <c r="D81" s="8"/>
      <c r="E81" s="13" t="n">
        <v>0.35</v>
      </c>
      <c r="F81" s="8"/>
      <c r="G81" s="8" t="s">
        <v>95</v>
      </c>
      <c r="H81" s="8" t="s">
        <v>42</v>
      </c>
      <c r="I81" s="8" t="s">
        <v>326</v>
      </c>
      <c r="J81" s="8" t="s">
        <v>114</v>
      </c>
      <c r="K81" s="8" t="s">
        <v>327</v>
      </c>
      <c r="L81" s="8" t="s">
        <v>313</v>
      </c>
      <c r="M81" s="10" t="s">
        <v>46</v>
      </c>
      <c r="N81" s="10" t="s">
        <v>314</v>
      </c>
    </row>
    <row r="82" customFormat="false" ht="34.5" hidden="false" customHeight="true" outlineLevel="0" collapsed="false">
      <c r="A82" s="8" t="s">
        <v>328</v>
      </c>
      <c r="B82" s="8" t="s">
        <v>310</v>
      </c>
      <c r="C82" s="8" t="s">
        <v>329</v>
      </c>
      <c r="D82" s="8"/>
      <c r="E82" s="13" t="n">
        <v>0.28</v>
      </c>
      <c r="F82" s="8"/>
      <c r="G82" s="8" t="s">
        <v>95</v>
      </c>
      <c r="H82" s="8" t="s">
        <v>42</v>
      </c>
      <c r="I82" s="8" t="s">
        <v>326</v>
      </c>
      <c r="J82" s="8" t="s">
        <v>114</v>
      </c>
      <c r="K82" s="8" t="s">
        <v>330</v>
      </c>
      <c r="L82" s="8" t="s">
        <v>313</v>
      </c>
      <c r="M82" s="10" t="s">
        <v>46</v>
      </c>
      <c r="N82" s="10" t="s">
        <v>314</v>
      </c>
    </row>
    <row r="83" customFormat="false" ht="34.5" hidden="false" customHeight="true" outlineLevel="0" collapsed="false">
      <c r="A83" s="8" t="s">
        <v>331</v>
      </c>
      <c r="B83" s="8" t="s">
        <v>310</v>
      </c>
      <c r="C83" s="8" t="s">
        <v>332</v>
      </c>
      <c r="D83" s="8"/>
      <c r="E83" s="13" t="n">
        <v>0.18</v>
      </c>
      <c r="F83" s="8"/>
      <c r="G83" s="8" t="s">
        <v>95</v>
      </c>
      <c r="H83" s="8" t="s">
        <v>42</v>
      </c>
      <c r="I83" s="8" t="s">
        <v>132</v>
      </c>
      <c r="J83" s="8" t="s">
        <v>114</v>
      </c>
      <c r="K83" s="8" t="s">
        <v>333</v>
      </c>
      <c r="L83" s="8" t="s">
        <v>313</v>
      </c>
      <c r="M83" s="10" t="s">
        <v>46</v>
      </c>
      <c r="N83" s="10" t="s">
        <v>314</v>
      </c>
    </row>
    <row r="84" customFormat="false" ht="34.5" hidden="false" customHeight="true" outlineLevel="0" collapsed="false">
      <c r="A84" s="8" t="s">
        <v>334</v>
      </c>
      <c r="B84" s="8" t="s">
        <v>310</v>
      </c>
      <c r="C84" s="8" t="s">
        <v>335</v>
      </c>
      <c r="D84" s="8"/>
      <c r="E84" s="13" t="n">
        <v>0.12</v>
      </c>
      <c r="F84" s="8"/>
      <c r="G84" s="8" t="s">
        <v>95</v>
      </c>
      <c r="H84" s="8" t="s">
        <v>42</v>
      </c>
      <c r="I84" s="8"/>
      <c r="J84" s="8" t="s">
        <v>43</v>
      </c>
      <c r="K84" s="8" t="s">
        <v>330</v>
      </c>
      <c r="L84" s="8" t="s">
        <v>313</v>
      </c>
      <c r="M84" s="10" t="s">
        <v>46</v>
      </c>
      <c r="N84" s="10" t="s">
        <v>314</v>
      </c>
    </row>
    <row r="85" customFormat="false" ht="34.5" hidden="false" customHeight="true" outlineLevel="0" collapsed="false">
      <c r="A85" s="8" t="s">
        <v>336</v>
      </c>
      <c r="B85" s="8" t="s">
        <v>310</v>
      </c>
      <c r="C85" s="8" t="s">
        <v>337</v>
      </c>
      <c r="D85" s="8"/>
      <c r="E85" s="13" t="n">
        <v>0.07</v>
      </c>
      <c r="F85" s="8"/>
      <c r="G85" s="8" t="s">
        <v>95</v>
      </c>
      <c r="H85" s="8" t="s">
        <v>42</v>
      </c>
      <c r="I85" s="8"/>
      <c r="J85" s="8" t="s">
        <v>43</v>
      </c>
      <c r="K85" s="8" t="s">
        <v>330</v>
      </c>
      <c r="L85" s="8" t="s">
        <v>313</v>
      </c>
      <c r="M85" s="10" t="s">
        <v>46</v>
      </c>
      <c r="N85" s="10" t="s">
        <v>314</v>
      </c>
    </row>
    <row r="86" customFormat="false" ht="34.5" hidden="false" customHeight="true" outlineLevel="0" collapsed="false">
      <c r="A86" s="8" t="s">
        <v>338</v>
      </c>
      <c r="B86" s="8" t="s">
        <v>310</v>
      </c>
      <c r="C86" s="8" t="s">
        <v>339</v>
      </c>
      <c r="D86" s="12" t="n">
        <v>1500</v>
      </c>
      <c r="E86" s="12" t="n">
        <v>2500</v>
      </c>
      <c r="F86" s="12" t="n">
        <v>4000</v>
      </c>
      <c r="G86" s="8" t="s">
        <v>142</v>
      </c>
      <c r="H86" s="8" t="s">
        <v>42</v>
      </c>
      <c r="I86" s="8"/>
      <c r="J86" s="8" t="s">
        <v>43</v>
      </c>
      <c r="K86" s="8" t="s">
        <v>340</v>
      </c>
      <c r="L86" s="8" t="s">
        <v>313</v>
      </c>
      <c r="M86" s="10" t="s">
        <v>46</v>
      </c>
      <c r="N86" s="10" t="s">
        <v>314</v>
      </c>
    </row>
    <row r="87" customFormat="false" ht="34.5" hidden="false" customHeight="true" outlineLevel="0" collapsed="false">
      <c r="A87" s="8" t="s">
        <v>341</v>
      </c>
      <c r="B87" s="8" t="s">
        <v>310</v>
      </c>
      <c r="C87" s="8" t="s">
        <v>342</v>
      </c>
      <c r="D87" s="12" t="n">
        <v>2500</v>
      </c>
      <c r="E87" s="12" t="n">
        <v>3500</v>
      </c>
      <c r="F87" s="12" t="n">
        <v>6000</v>
      </c>
      <c r="G87" s="8" t="s">
        <v>142</v>
      </c>
      <c r="H87" s="8" t="s">
        <v>42</v>
      </c>
      <c r="I87" s="8"/>
      <c r="J87" s="8" t="s">
        <v>43</v>
      </c>
      <c r="K87" s="8" t="s">
        <v>343</v>
      </c>
      <c r="L87" s="8" t="s">
        <v>313</v>
      </c>
      <c r="M87" s="10" t="s">
        <v>46</v>
      </c>
      <c r="N87" s="10" t="s">
        <v>314</v>
      </c>
    </row>
    <row r="88" customFormat="false" ht="34.5" hidden="false" customHeight="true" outlineLevel="0" collapsed="false">
      <c r="A88" s="8" t="s">
        <v>344</v>
      </c>
      <c r="B88" s="8" t="s">
        <v>310</v>
      </c>
      <c r="C88" s="8" t="s">
        <v>345</v>
      </c>
      <c r="D88" s="8"/>
      <c r="E88" s="9" t="s">
        <v>346</v>
      </c>
      <c r="F88" s="8"/>
      <c r="G88" s="8" t="s">
        <v>41</v>
      </c>
      <c r="H88" s="8" t="s">
        <v>42</v>
      </c>
      <c r="I88" s="8" t="s">
        <v>132</v>
      </c>
      <c r="J88" s="8" t="s">
        <v>114</v>
      </c>
      <c r="K88" s="8" t="s">
        <v>347</v>
      </c>
      <c r="L88" s="8" t="s">
        <v>313</v>
      </c>
      <c r="M88" s="10" t="s">
        <v>46</v>
      </c>
      <c r="N88" s="10" t="s">
        <v>314</v>
      </c>
    </row>
    <row r="89" customFormat="false" ht="34.5" hidden="false" customHeight="true" outlineLevel="0" collapsed="false">
      <c r="A89" s="8" t="s">
        <v>348</v>
      </c>
      <c r="B89" s="8" t="s">
        <v>310</v>
      </c>
      <c r="C89" s="8" t="s">
        <v>349</v>
      </c>
      <c r="D89" s="8"/>
      <c r="E89" s="9" t="s">
        <v>350</v>
      </c>
      <c r="F89" s="8"/>
      <c r="G89" s="8" t="s">
        <v>41</v>
      </c>
      <c r="H89" s="8" t="s">
        <v>42</v>
      </c>
      <c r="I89" s="8"/>
      <c r="J89" s="8" t="s">
        <v>43</v>
      </c>
      <c r="K89" s="8" t="s">
        <v>351</v>
      </c>
      <c r="L89" s="8" t="s">
        <v>313</v>
      </c>
      <c r="M89" s="10" t="s">
        <v>46</v>
      </c>
      <c r="N89" s="10" t="s">
        <v>314</v>
      </c>
    </row>
    <row r="90" customFormat="false" ht="68.25" hidden="false" customHeight="true" outlineLevel="0" collapsed="false">
      <c r="A90" s="8" t="s">
        <v>352</v>
      </c>
      <c r="B90" s="8" t="s">
        <v>310</v>
      </c>
      <c r="C90" s="8" t="s">
        <v>353</v>
      </c>
      <c r="D90" s="8"/>
      <c r="E90" s="9" t="s">
        <v>354</v>
      </c>
      <c r="F90" s="8"/>
      <c r="G90" s="8" t="s">
        <v>41</v>
      </c>
      <c r="H90" s="8" t="s">
        <v>42</v>
      </c>
      <c r="I90" s="8"/>
      <c r="J90" s="8" t="s">
        <v>43</v>
      </c>
      <c r="K90" s="8" t="s">
        <v>355</v>
      </c>
      <c r="L90" s="8" t="s">
        <v>313</v>
      </c>
      <c r="M90" s="10" t="s">
        <v>46</v>
      </c>
      <c r="N90" s="10" t="s">
        <v>314</v>
      </c>
    </row>
    <row r="91" customFormat="false" ht="34.5" hidden="false" customHeight="true" outlineLevel="0" collapsed="false">
      <c r="A91" s="8" t="s">
        <v>356</v>
      </c>
      <c r="B91" s="8" t="s">
        <v>310</v>
      </c>
      <c r="C91" s="8" t="s">
        <v>357</v>
      </c>
      <c r="D91" s="8"/>
      <c r="E91" s="9" t="s">
        <v>358</v>
      </c>
      <c r="F91" s="8"/>
      <c r="G91" s="8" t="s">
        <v>41</v>
      </c>
      <c r="H91" s="8" t="s">
        <v>42</v>
      </c>
      <c r="I91" s="8"/>
      <c r="J91" s="8" t="s">
        <v>43</v>
      </c>
      <c r="K91" s="8" t="s">
        <v>359</v>
      </c>
      <c r="L91" s="8" t="s">
        <v>313</v>
      </c>
      <c r="M91" s="10" t="s">
        <v>46</v>
      </c>
      <c r="N91" s="10" t="s">
        <v>314</v>
      </c>
    </row>
    <row r="92" customFormat="false" ht="57" hidden="false" customHeight="true" outlineLevel="0" collapsed="false">
      <c r="A92" s="8" t="s">
        <v>360</v>
      </c>
      <c r="B92" s="8" t="s">
        <v>310</v>
      </c>
      <c r="C92" s="8" t="s">
        <v>361</v>
      </c>
      <c r="D92" s="8"/>
      <c r="E92" s="9" t="s">
        <v>362</v>
      </c>
      <c r="F92" s="8"/>
      <c r="G92" s="8" t="s">
        <v>41</v>
      </c>
      <c r="H92" s="8" t="s">
        <v>42</v>
      </c>
      <c r="I92" s="8"/>
      <c r="J92" s="8" t="s">
        <v>43</v>
      </c>
      <c r="K92" s="8" t="s">
        <v>363</v>
      </c>
      <c r="L92" s="8" t="s">
        <v>313</v>
      </c>
      <c r="M92" s="10" t="s">
        <v>46</v>
      </c>
      <c r="N92" s="10" t="s">
        <v>314</v>
      </c>
    </row>
    <row r="93" customFormat="false" ht="68.25" hidden="false" customHeight="true" outlineLevel="0" collapsed="false">
      <c r="A93" s="8" t="s">
        <v>364</v>
      </c>
      <c r="B93" s="8" t="s">
        <v>310</v>
      </c>
      <c r="C93" s="8" t="s">
        <v>365</v>
      </c>
      <c r="D93" s="8"/>
      <c r="E93" s="9" t="s">
        <v>366</v>
      </c>
      <c r="F93" s="8"/>
      <c r="G93" s="8" t="s">
        <v>41</v>
      </c>
      <c r="H93" s="8" t="s">
        <v>42</v>
      </c>
      <c r="I93" s="8" t="s">
        <v>109</v>
      </c>
      <c r="J93" s="8" t="s">
        <v>114</v>
      </c>
      <c r="K93" s="8" t="s">
        <v>367</v>
      </c>
      <c r="L93" s="8" t="s">
        <v>313</v>
      </c>
      <c r="M93" s="10" t="s">
        <v>46</v>
      </c>
      <c r="N93" s="10" t="s">
        <v>314</v>
      </c>
    </row>
    <row r="94" customFormat="false" ht="34.5" hidden="false" customHeight="true" outlineLevel="0" collapsed="false">
      <c r="A94" s="8" t="s">
        <v>368</v>
      </c>
      <c r="B94" s="8" t="s">
        <v>369</v>
      </c>
      <c r="C94" s="8" t="s">
        <v>370</v>
      </c>
      <c r="D94" s="12" t="n">
        <v>450</v>
      </c>
      <c r="E94" s="12" t="n">
        <v>600</v>
      </c>
      <c r="F94" s="12" t="n">
        <v>800</v>
      </c>
      <c r="G94" s="8" t="s">
        <v>66</v>
      </c>
      <c r="H94" s="8" t="s">
        <v>42</v>
      </c>
      <c r="I94" s="8"/>
      <c r="J94" s="8" t="s">
        <v>43</v>
      </c>
      <c r="K94" s="8" t="s">
        <v>371</v>
      </c>
      <c r="L94" s="8" t="s">
        <v>372</v>
      </c>
      <c r="M94" s="10" t="s">
        <v>46</v>
      </c>
      <c r="N94" s="10" t="s">
        <v>373</v>
      </c>
    </row>
    <row r="95" customFormat="false" ht="34.5" hidden="false" customHeight="true" outlineLevel="0" collapsed="false">
      <c r="A95" s="8" t="s">
        <v>374</v>
      </c>
      <c r="B95" s="8" t="s">
        <v>369</v>
      </c>
      <c r="C95" s="8" t="s">
        <v>375</v>
      </c>
      <c r="D95" s="13" t="n">
        <v>0.3</v>
      </c>
      <c r="E95" s="13" t="n">
        <v>0.4</v>
      </c>
      <c r="F95" s="13" t="n">
        <v>0.5</v>
      </c>
      <c r="G95" s="8" t="s">
        <v>95</v>
      </c>
      <c r="H95" s="8" t="s">
        <v>42</v>
      </c>
      <c r="I95" s="8"/>
      <c r="J95" s="8" t="s">
        <v>43</v>
      </c>
      <c r="K95" s="8" t="s">
        <v>376</v>
      </c>
      <c r="L95" s="8" t="s">
        <v>372</v>
      </c>
      <c r="M95" s="10" t="s">
        <v>46</v>
      </c>
      <c r="N95" s="10" t="s">
        <v>373</v>
      </c>
    </row>
    <row r="96" customFormat="false" ht="34.5" hidden="false" customHeight="true" outlineLevel="0" collapsed="false">
      <c r="A96" s="8" t="s">
        <v>377</v>
      </c>
      <c r="B96" s="8" t="s">
        <v>369</v>
      </c>
      <c r="C96" s="8" t="s">
        <v>378</v>
      </c>
      <c r="D96" s="12" t="n">
        <v>20</v>
      </c>
      <c r="E96" s="12" t="n">
        <v>40</v>
      </c>
      <c r="F96" s="12" t="n">
        <v>70</v>
      </c>
      <c r="G96" s="8" t="s">
        <v>66</v>
      </c>
      <c r="H96" s="8" t="s">
        <v>42</v>
      </c>
      <c r="I96" s="8"/>
      <c r="J96" s="8" t="s">
        <v>43</v>
      </c>
      <c r="K96" s="8" t="s">
        <v>379</v>
      </c>
      <c r="L96" s="8" t="s">
        <v>372</v>
      </c>
      <c r="M96" s="10" t="s">
        <v>46</v>
      </c>
      <c r="N96" s="10" t="s">
        <v>373</v>
      </c>
    </row>
    <row r="97" customFormat="false" ht="34.5" hidden="false" customHeight="true" outlineLevel="0" collapsed="false">
      <c r="A97" s="8" t="s">
        <v>380</v>
      </c>
      <c r="B97" s="8" t="s">
        <v>369</v>
      </c>
      <c r="C97" s="8" t="s">
        <v>381</v>
      </c>
      <c r="D97" s="13" t="n">
        <v>0</v>
      </c>
      <c r="E97" s="13" t="n">
        <v>0.05</v>
      </c>
      <c r="F97" s="13" t="n">
        <v>0.15</v>
      </c>
      <c r="G97" s="8" t="s">
        <v>95</v>
      </c>
      <c r="H97" s="8" t="s">
        <v>42</v>
      </c>
      <c r="I97" s="8"/>
      <c r="J97" s="8" t="s">
        <v>43</v>
      </c>
      <c r="K97" s="8" t="s">
        <v>382</v>
      </c>
      <c r="L97" s="8" t="s">
        <v>372</v>
      </c>
      <c r="M97" s="10" t="s">
        <v>46</v>
      </c>
      <c r="N97" s="10" t="s">
        <v>373</v>
      </c>
    </row>
    <row r="98" customFormat="false" ht="34.5" hidden="false" customHeight="true" outlineLevel="0" collapsed="false">
      <c r="A98" s="8" t="s">
        <v>383</v>
      </c>
      <c r="B98" s="8" t="s">
        <v>369</v>
      </c>
      <c r="C98" s="8" t="s">
        <v>384</v>
      </c>
      <c r="D98" s="15" t="n">
        <v>1.05</v>
      </c>
      <c r="E98" s="15" t="n">
        <v>1.1</v>
      </c>
      <c r="F98" s="15" t="n">
        <v>1.2</v>
      </c>
      <c r="G98" s="8" t="s">
        <v>54</v>
      </c>
      <c r="H98" s="8" t="s">
        <v>42</v>
      </c>
      <c r="I98" s="8"/>
      <c r="J98" s="8" t="s">
        <v>43</v>
      </c>
      <c r="K98" s="8" t="s">
        <v>385</v>
      </c>
      <c r="L98" s="8" t="s">
        <v>372</v>
      </c>
      <c r="M98" s="10" t="s">
        <v>46</v>
      </c>
      <c r="N98" s="10" t="s">
        <v>373</v>
      </c>
    </row>
    <row r="99" customFormat="false" ht="90.75" hidden="false" customHeight="true" outlineLevel="0" collapsed="false">
      <c r="A99" s="8" t="s">
        <v>386</v>
      </c>
      <c r="B99" s="8" t="s">
        <v>369</v>
      </c>
      <c r="C99" s="8" t="s">
        <v>387</v>
      </c>
      <c r="D99" s="8"/>
      <c r="E99" s="9" t="s">
        <v>388</v>
      </c>
      <c r="F99" s="8"/>
      <c r="G99" s="8" t="s">
        <v>41</v>
      </c>
      <c r="H99" s="8" t="s">
        <v>42</v>
      </c>
      <c r="I99" s="8"/>
      <c r="J99" s="8" t="s">
        <v>43</v>
      </c>
      <c r="K99" s="8" t="s">
        <v>389</v>
      </c>
      <c r="L99" s="8" t="s">
        <v>372</v>
      </c>
      <c r="M99" s="10" t="s">
        <v>46</v>
      </c>
      <c r="N99" s="10" t="s">
        <v>373</v>
      </c>
    </row>
    <row r="100" customFormat="false" ht="68.25" hidden="false" customHeight="true" outlineLevel="0" collapsed="false">
      <c r="A100" s="8" t="s">
        <v>390</v>
      </c>
      <c r="B100" s="8" t="s">
        <v>369</v>
      </c>
      <c r="C100" s="8" t="s">
        <v>391</v>
      </c>
      <c r="D100" s="8"/>
      <c r="E100" s="9" t="s">
        <v>392</v>
      </c>
      <c r="F100" s="8"/>
      <c r="G100" s="8" t="s">
        <v>41</v>
      </c>
      <c r="H100" s="8" t="s">
        <v>42</v>
      </c>
      <c r="I100" s="8"/>
      <c r="J100" s="8" t="s">
        <v>43</v>
      </c>
      <c r="K100" s="8" t="s">
        <v>393</v>
      </c>
      <c r="L100" s="8" t="s">
        <v>372</v>
      </c>
      <c r="M100" s="10" t="s">
        <v>46</v>
      </c>
      <c r="N100" s="10" t="s">
        <v>373</v>
      </c>
    </row>
    <row r="101" customFormat="false" ht="68.25" hidden="false" customHeight="true" outlineLevel="0" collapsed="false">
      <c r="A101" s="8" t="s">
        <v>394</v>
      </c>
      <c r="B101" s="8" t="s">
        <v>369</v>
      </c>
      <c r="C101" s="8" t="s">
        <v>395</v>
      </c>
      <c r="D101" s="8"/>
      <c r="E101" s="9" t="s">
        <v>396</v>
      </c>
      <c r="F101" s="8"/>
      <c r="G101" s="8" t="s">
        <v>41</v>
      </c>
      <c r="H101" s="8" t="s">
        <v>42</v>
      </c>
      <c r="I101" s="8"/>
      <c r="J101" s="8" t="s">
        <v>43</v>
      </c>
      <c r="K101" s="8" t="s">
        <v>397</v>
      </c>
      <c r="L101" s="8" t="s">
        <v>372</v>
      </c>
      <c r="M101" s="10" t="s">
        <v>46</v>
      </c>
      <c r="N101" s="10" t="s">
        <v>373</v>
      </c>
    </row>
    <row r="102" customFormat="false" ht="68.25" hidden="false" customHeight="true" outlineLevel="0" collapsed="false">
      <c r="A102" s="8" t="s">
        <v>398</v>
      </c>
      <c r="B102" s="8" t="s">
        <v>369</v>
      </c>
      <c r="C102" s="8" t="s">
        <v>399</v>
      </c>
      <c r="D102" s="8"/>
      <c r="E102" s="9" t="s">
        <v>400</v>
      </c>
      <c r="F102" s="8"/>
      <c r="G102" s="8" t="s">
        <v>41</v>
      </c>
      <c r="H102" s="8" t="s">
        <v>42</v>
      </c>
      <c r="I102" s="8"/>
      <c r="J102" s="8" t="s">
        <v>43</v>
      </c>
      <c r="K102" s="8" t="s">
        <v>401</v>
      </c>
      <c r="L102" s="8" t="s">
        <v>372</v>
      </c>
      <c r="M102" s="10" t="s">
        <v>46</v>
      </c>
      <c r="N102" s="10" t="s">
        <v>373</v>
      </c>
    </row>
    <row r="103" customFormat="false" ht="35.05" hidden="false" customHeight="false" outlineLevel="0" collapsed="false">
      <c r="A103" s="8" t="s">
        <v>402</v>
      </c>
      <c r="B103" s="8" t="s">
        <v>403</v>
      </c>
      <c r="C103" s="8" t="s">
        <v>404</v>
      </c>
      <c r="D103" s="13" t="n">
        <v>0.02</v>
      </c>
      <c r="E103" s="13" t="n">
        <v>0.05</v>
      </c>
      <c r="F103" s="13" t="n">
        <v>0.08</v>
      </c>
      <c r="G103" s="8" t="s">
        <v>95</v>
      </c>
      <c r="H103" s="8" t="s">
        <v>42</v>
      </c>
      <c r="I103" s="8"/>
      <c r="J103" s="8" t="s">
        <v>43</v>
      </c>
      <c r="K103" s="8" t="s">
        <v>405</v>
      </c>
      <c r="L103" s="8" t="s">
        <v>406</v>
      </c>
      <c r="M103" s="10" t="s">
        <v>46</v>
      </c>
      <c r="N103" s="10" t="s">
        <v>407</v>
      </c>
    </row>
    <row r="104" customFormat="false" ht="35.05" hidden="false" customHeight="false" outlineLevel="0" collapsed="false">
      <c r="A104" s="8" t="s">
        <v>408</v>
      </c>
      <c r="B104" s="8" t="s">
        <v>403</v>
      </c>
      <c r="C104" s="8" t="s">
        <v>409</v>
      </c>
      <c r="D104" s="11" t="n">
        <v>1.5</v>
      </c>
      <c r="E104" s="11" t="n">
        <v>2</v>
      </c>
      <c r="F104" s="11" t="n">
        <v>3</v>
      </c>
      <c r="G104" s="8" t="s">
        <v>54</v>
      </c>
      <c r="H104" s="8" t="s">
        <v>42</v>
      </c>
      <c r="I104" s="8"/>
      <c r="J104" s="8" t="s">
        <v>43</v>
      </c>
      <c r="K104" s="8" t="s">
        <v>410</v>
      </c>
      <c r="L104" s="8" t="s">
        <v>406</v>
      </c>
      <c r="M104" s="10" t="s">
        <v>46</v>
      </c>
      <c r="N104" s="10" t="s">
        <v>407</v>
      </c>
    </row>
    <row r="105" customFormat="false" ht="35.05" hidden="false" customHeight="false" outlineLevel="0" collapsed="false">
      <c r="A105" s="8" t="s">
        <v>411</v>
      </c>
      <c r="B105" s="8" t="s">
        <v>403</v>
      </c>
      <c r="C105" s="8" t="s">
        <v>412</v>
      </c>
      <c r="D105" s="11" t="n">
        <v>2</v>
      </c>
      <c r="E105" s="11" t="n">
        <v>2.5</v>
      </c>
      <c r="F105" s="11" t="n">
        <v>4</v>
      </c>
      <c r="G105" s="8" t="s">
        <v>54</v>
      </c>
      <c r="H105" s="8" t="s">
        <v>42</v>
      </c>
      <c r="I105" s="8"/>
      <c r="J105" s="8" t="s">
        <v>43</v>
      </c>
      <c r="K105" s="8" t="s">
        <v>413</v>
      </c>
      <c r="L105" s="8" t="s">
        <v>406</v>
      </c>
      <c r="M105" s="10" t="s">
        <v>46</v>
      </c>
      <c r="N105" s="10" t="s">
        <v>407</v>
      </c>
    </row>
    <row r="106" customFormat="false" ht="35.05" hidden="false" customHeight="false" outlineLevel="0" collapsed="false">
      <c r="A106" s="8" t="s">
        <v>414</v>
      </c>
      <c r="B106" s="8" t="s">
        <v>403</v>
      </c>
      <c r="C106" s="8" t="s">
        <v>415</v>
      </c>
      <c r="D106" s="13" t="n">
        <v>0</v>
      </c>
      <c r="E106" s="13" t="n">
        <v>0.05</v>
      </c>
      <c r="F106" s="13" t="n">
        <v>0.15</v>
      </c>
      <c r="G106" s="8" t="s">
        <v>95</v>
      </c>
      <c r="H106" s="8" t="s">
        <v>42</v>
      </c>
      <c r="I106" s="8"/>
      <c r="J106" s="8" t="s">
        <v>43</v>
      </c>
      <c r="K106" s="8" t="s">
        <v>416</v>
      </c>
      <c r="L106" s="8" t="s">
        <v>406</v>
      </c>
      <c r="M106" s="10" t="s">
        <v>46</v>
      </c>
      <c r="N106" s="10" t="s">
        <v>407</v>
      </c>
    </row>
    <row r="107" customFormat="false" ht="91" hidden="false" customHeight="false" outlineLevel="0" collapsed="false">
      <c r="A107" s="8" t="s">
        <v>417</v>
      </c>
      <c r="B107" s="8" t="s">
        <v>403</v>
      </c>
      <c r="C107" s="8" t="s">
        <v>418</v>
      </c>
      <c r="D107" s="8"/>
      <c r="E107" s="9" t="s">
        <v>419</v>
      </c>
      <c r="F107" s="8"/>
      <c r="G107" s="8" t="s">
        <v>41</v>
      </c>
      <c r="H107" s="8" t="s">
        <v>42</v>
      </c>
      <c r="I107" s="8"/>
      <c r="J107" s="8" t="s">
        <v>43</v>
      </c>
      <c r="K107" s="8" t="s">
        <v>420</v>
      </c>
      <c r="L107" s="8" t="s">
        <v>406</v>
      </c>
      <c r="M107" s="10" t="s">
        <v>46</v>
      </c>
      <c r="N107" s="10" t="s">
        <v>407</v>
      </c>
    </row>
    <row r="108" customFormat="false" ht="35.05" hidden="false" customHeight="false" outlineLevel="0" collapsed="false">
      <c r="A108" s="8" t="s">
        <v>421</v>
      </c>
      <c r="B108" s="8" t="s">
        <v>403</v>
      </c>
      <c r="C108" s="8" t="s">
        <v>422</v>
      </c>
      <c r="D108" s="8"/>
      <c r="E108" s="9" t="s">
        <v>423</v>
      </c>
      <c r="F108" s="8"/>
      <c r="G108" s="8" t="s">
        <v>41</v>
      </c>
      <c r="H108" s="8" t="s">
        <v>42</v>
      </c>
      <c r="I108" s="8"/>
      <c r="J108" s="8" t="s">
        <v>43</v>
      </c>
      <c r="K108" s="8" t="s">
        <v>424</v>
      </c>
      <c r="L108" s="8" t="s">
        <v>406</v>
      </c>
      <c r="M108" s="10" t="s">
        <v>46</v>
      </c>
      <c r="N108" s="10" t="s">
        <v>407</v>
      </c>
    </row>
    <row r="109" customFormat="false" ht="46.25" hidden="false" customHeight="false" outlineLevel="0" collapsed="false">
      <c r="A109" s="8" t="s">
        <v>425</v>
      </c>
      <c r="B109" s="8" t="s">
        <v>403</v>
      </c>
      <c r="C109" s="8" t="s">
        <v>426</v>
      </c>
      <c r="D109" s="8"/>
      <c r="E109" s="9" t="s">
        <v>427</v>
      </c>
      <c r="F109" s="8"/>
      <c r="G109" s="8" t="s">
        <v>41</v>
      </c>
      <c r="H109" s="8" t="s">
        <v>42</v>
      </c>
      <c r="I109" s="8" t="s">
        <v>428</v>
      </c>
      <c r="J109" s="8" t="s">
        <v>114</v>
      </c>
      <c r="K109" s="8" t="s">
        <v>429</v>
      </c>
      <c r="L109" s="8" t="s">
        <v>406</v>
      </c>
      <c r="M109" s="10" t="s">
        <v>46</v>
      </c>
      <c r="N109" s="10" t="s">
        <v>407</v>
      </c>
    </row>
    <row r="110" customFormat="false" ht="102.2" hidden="false" customHeight="false" outlineLevel="0" collapsed="false">
      <c r="A110" s="8" t="s">
        <v>430</v>
      </c>
      <c r="B110" s="8" t="s">
        <v>403</v>
      </c>
      <c r="C110" s="8" t="s">
        <v>431</v>
      </c>
      <c r="D110" s="8"/>
      <c r="E110" s="9" t="s">
        <v>432</v>
      </c>
      <c r="F110" s="8"/>
      <c r="G110" s="8" t="s">
        <v>41</v>
      </c>
      <c r="H110" s="8" t="s">
        <v>42</v>
      </c>
      <c r="I110" s="8" t="s">
        <v>161</v>
      </c>
      <c r="J110" s="8" t="s">
        <v>114</v>
      </c>
      <c r="K110" s="8" t="s">
        <v>433</v>
      </c>
      <c r="L110" s="8" t="s">
        <v>406</v>
      </c>
      <c r="M110" s="10" t="s">
        <v>46</v>
      </c>
      <c r="N110" s="10" t="s">
        <v>407</v>
      </c>
    </row>
    <row r="111" customFormat="false" ht="57.45" hidden="false" customHeight="false" outlineLevel="0" collapsed="false">
      <c r="A111" s="8" t="s">
        <v>434</v>
      </c>
      <c r="B111" s="8" t="s">
        <v>403</v>
      </c>
      <c r="C111" s="8" t="s">
        <v>435</v>
      </c>
      <c r="D111" s="8"/>
      <c r="E111" s="9" t="s">
        <v>436</v>
      </c>
      <c r="F111" s="8"/>
      <c r="G111" s="8" t="s">
        <v>41</v>
      </c>
      <c r="H111" s="8" t="s">
        <v>42</v>
      </c>
      <c r="I111" s="8"/>
      <c r="J111" s="8" t="s">
        <v>43</v>
      </c>
      <c r="K111" s="8" t="s">
        <v>437</v>
      </c>
      <c r="L111" s="8" t="s">
        <v>406</v>
      </c>
      <c r="M111" s="10" t="s">
        <v>46</v>
      </c>
      <c r="N111" s="10" t="s">
        <v>407</v>
      </c>
    </row>
  </sheetData>
  <dataValidations count="6">
    <dataValidation allowBlank="true" errorStyle="stop" operator="between" showDropDown="false" showErrorMessage="false" showInputMessage="false" sqref="M5:M55" type="list">
      <formula1>"Accept,Change,Reject"</formula1>
      <formula2>0</formula2>
    </dataValidation>
    <dataValidation allowBlank="true" errorStyle="stop" operator="between" showDropDown="false" showErrorMessage="false" showInputMessage="false" sqref="M56:M69" type="list">
      <formula1>"Accept,Change,Reject"</formula1>
      <formula2>0</formula2>
    </dataValidation>
    <dataValidation allowBlank="true" errorStyle="stop" operator="between" showDropDown="false" showErrorMessage="false" showInputMessage="false" sqref="M70:M76" type="list">
      <formula1>"Accept,Change,Reject"</formula1>
      <formula2>0</formula2>
    </dataValidation>
    <dataValidation allowBlank="true" errorStyle="stop" operator="between" showDropDown="false" showErrorMessage="false" showInputMessage="false" sqref="M77:M93" type="list">
      <formula1>"Accept,Change,Reject"</formula1>
      <formula2>0</formula2>
    </dataValidation>
    <dataValidation allowBlank="true" errorStyle="stop" operator="between" showDropDown="false" showErrorMessage="false" showInputMessage="false" sqref="M94:M102" type="list">
      <formula1>"Accept,Change,Reject"</formula1>
      <formula2>0</formula2>
    </dataValidation>
    <dataValidation allowBlank="true" errorStyle="stop" operator="between" showDropDown="false" showErrorMessage="false" showInputMessage="false" sqref="M103:M111" type="list">
      <formula1>"Accept,Change,Reject"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2"/>
    <col collapsed="false" customWidth="true" hidden="false" outlineLevel="0" max="4" min="3" style="1" width="14"/>
    <col collapsed="false" customWidth="true" hidden="false" outlineLevel="0" max="6" min="5" style="1" width="16"/>
    <col collapsed="false" customWidth="true" hidden="false" outlineLevel="0" max="7" min="7" style="1" width="60"/>
  </cols>
  <sheetData>
    <row r="1" customFormat="false" ht="17.25" hidden="false" customHeight="true" outlineLevel="0" collapsed="false">
      <c r="A1" s="2" t="s">
        <v>438</v>
      </c>
    </row>
    <row r="2" customFormat="false" ht="15" hidden="false" customHeight="true" outlineLevel="0" collapsed="false">
      <c r="A2" s="6" t="s">
        <v>439</v>
      </c>
    </row>
    <row r="4" customFormat="false" ht="15" hidden="false" customHeight="true" outlineLevel="0" collapsed="false">
      <c r="A4" s="7" t="s">
        <v>440</v>
      </c>
      <c r="B4" s="7" t="s">
        <v>441</v>
      </c>
      <c r="C4" s="7" t="s">
        <v>442</v>
      </c>
      <c r="D4" s="7" t="s">
        <v>443</v>
      </c>
      <c r="E4" s="7" t="s">
        <v>30</v>
      </c>
      <c r="F4" s="7" t="s">
        <v>35</v>
      </c>
      <c r="G4" s="7" t="s">
        <v>36</v>
      </c>
    </row>
    <row r="5" customFormat="false" ht="23.25" hidden="false" customHeight="true" outlineLevel="0" collapsed="false">
      <c r="A5" s="8" t="s">
        <v>444</v>
      </c>
      <c r="B5" s="8" t="s">
        <v>445</v>
      </c>
      <c r="C5" s="12" t="n">
        <v>6000</v>
      </c>
      <c r="D5" s="12" t="n">
        <v>120000</v>
      </c>
      <c r="E5" s="8" t="s">
        <v>42</v>
      </c>
      <c r="F5" s="10" t="s">
        <v>46</v>
      </c>
      <c r="G5" s="10" t="s">
        <v>446</v>
      </c>
    </row>
    <row r="6" customFormat="false" ht="23.25" hidden="false" customHeight="true" outlineLevel="0" collapsed="false">
      <c r="A6" s="8" t="s">
        <v>444</v>
      </c>
      <c r="B6" s="8" t="s">
        <v>447</v>
      </c>
      <c r="C6" s="12" t="n">
        <v>15000</v>
      </c>
      <c r="D6" s="12" t="n">
        <v>350000</v>
      </c>
      <c r="E6" s="8" t="s">
        <v>42</v>
      </c>
      <c r="F6" s="10" t="s">
        <v>46</v>
      </c>
      <c r="G6" s="10" t="s">
        <v>446</v>
      </c>
    </row>
    <row r="7" customFormat="false" ht="23.25" hidden="false" customHeight="true" outlineLevel="0" collapsed="false">
      <c r="A7" s="8" t="s">
        <v>444</v>
      </c>
      <c r="B7" s="8" t="s">
        <v>448</v>
      </c>
      <c r="C7" s="12" t="n">
        <v>40000</v>
      </c>
      <c r="D7" s="12" t="n">
        <v>600000</v>
      </c>
      <c r="E7" s="8" t="s">
        <v>42</v>
      </c>
      <c r="F7" s="10" t="s">
        <v>46</v>
      </c>
      <c r="G7" s="10" t="s">
        <v>446</v>
      </c>
    </row>
    <row r="8" customFormat="false" ht="23.25" hidden="false" customHeight="true" outlineLevel="0" collapsed="false">
      <c r="A8" s="8" t="s">
        <v>444</v>
      </c>
      <c r="B8" s="8" t="s">
        <v>449</v>
      </c>
      <c r="C8" s="12" t="n">
        <v>60000</v>
      </c>
      <c r="D8" s="12" t="n">
        <v>900000</v>
      </c>
      <c r="E8" s="8" t="s">
        <v>42</v>
      </c>
      <c r="F8" s="10" t="s">
        <v>46</v>
      </c>
      <c r="G8" s="10" t="s">
        <v>446</v>
      </c>
    </row>
    <row r="9" customFormat="false" ht="23.25" hidden="false" customHeight="true" outlineLevel="0" collapsed="false">
      <c r="A9" s="8" t="s">
        <v>444</v>
      </c>
      <c r="B9" s="8" t="s">
        <v>450</v>
      </c>
      <c r="C9" s="12" t="n">
        <v>50000</v>
      </c>
      <c r="D9" s="12" t="n">
        <v>600000</v>
      </c>
      <c r="E9" s="8" t="s">
        <v>42</v>
      </c>
      <c r="F9" s="10" t="s">
        <v>46</v>
      </c>
      <c r="G9" s="10" t="s">
        <v>446</v>
      </c>
    </row>
    <row r="10" customFormat="false" ht="23.25" hidden="false" customHeight="true" outlineLevel="0" collapsed="false">
      <c r="A10" s="8" t="s">
        <v>444</v>
      </c>
      <c r="B10" s="8" t="s">
        <v>451</v>
      </c>
      <c r="C10" s="12" t="n">
        <v>2000</v>
      </c>
      <c r="D10" s="12" t="n">
        <v>20000</v>
      </c>
      <c r="E10" s="8" t="s">
        <v>42</v>
      </c>
      <c r="F10" s="10" t="s">
        <v>46</v>
      </c>
      <c r="G10" s="10" t="s">
        <v>446</v>
      </c>
    </row>
    <row r="11" customFormat="false" ht="23.25" hidden="false" customHeight="true" outlineLevel="0" collapsed="false">
      <c r="A11" s="8" t="s">
        <v>444</v>
      </c>
      <c r="B11" s="8" t="s">
        <v>452</v>
      </c>
      <c r="C11" s="12" t="n">
        <v>10000</v>
      </c>
      <c r="D11" s="12" t="n">
        <v>250000</v>
      </c>
      <c r="E11" s="8" t="s">
        <v>42</v>
      </c>
      <c r="F11" s="10" t="s">
        <v>46</v>
      </c>
      <c r="G11" s="10" t="s">
        <v>446</v>
      </c>
    </row>
    <row r="12" customFormat="false" ht="23.25" hidden="false" customHeight="true" outlineLevel="0" collapsed="false">
      <c r="A12" s="8" t="s">
        <v>444</v>
      </c>
      <c r="B12" s="8" t="s">
        <v>453</v>
      </c>
      <c r="C12" s="12" t="n">
        <v>5000</v>
      </c>
      <c r="D12" s="12" t="n">
        <v>150000</v>
      </c>
      <c r="E12" s="8" t="s">
        <v>42</v>
      </c>
      <c r="F12" s="10" t="s">
        <v>46</v>
      </c>
      <c r="G12" s="10" t="s">
        <v>446</v>
      </c>
    </row>
    <row r="13" customFormat="false" ht="23.25" hidden="false" customHeight="true" outlineLevel="0" collapsed="false">
      <c r="A13" s="8" t="s">
        <v>454</v>
      </c>
      <c r="B13" s="8" t="s">
        <v>455</v>
      </c>
      <c r="C13" s="12" t="n">
        <v>1500</v>
      </c>
      <c r="D13" s="12" t="n">
        <v>8000</v>
      </c>
      <c r="E13" s="8" t="s">
        <v>42</v>
      </c>
      <c r="F13" s="10" t="s">
        <v>46</v>
      </c>
      <c r="G13" s="10" t="s">
        <v>446</v>
      </c>
    </row>
    <row r="14" customFormat="false" ht="23.25" hidden="false" customHeight="true" outlineLevel="0" collapsed="false">
      <c r="A14" s="8" t="s">
        <v>454</v>
      </c>
      <c r="B14" s="8" t="s">
        <v>456</v>
      </c>
      <c r="C14" s="12" t="n">
        <v>5000</v>
      </c>
      <c r="D14" s="12" t="n">
        <v>40000</v>
      </c>
      <c r="E14" s="8" t="s">
        <v>42</v>
      </c>
      <c r="F14" s="10" t="s">
        <v>46</v>
      </c>
      <c r="G14" s="10" t="s">
        <v>446</v>
      </c>
    </row>
    <row r="15" customFormat="false" ht="23.25" hidden="false" customHeight="true" outlineLevel="0" collapsed="false">
      <c r="A15" s="8" t="s">
        <v>454</v>
      </c>
      <c r="B15" s="8" t="s">
        <v>457</v>
      </c>
      <c r="C15" s="12" t="n">
        <v>4000</v>
      </c>
      <c r="D15" s="12" t="n">
        <v>30000</v>
      </c>
      <c r="E15" s="8" t="s">
        <v>42</v>
      </c>
      <c r="F15" s="10" t="s">
        <v>46</v>
      </c>
      <c r="G15" s="10" t="s">
        <v>446</v>
      </c>
    </row>
    <row r="16" customFormat="false" ht="23.25" hidden="false" customHeight="true" outlineLevel="0" collapsed="false">
      <c r="A16" s="8" t="s">
        <v>454</v>
      </c>
      <c r="B16" s="8" t="s">
        <v>458</v>
      </c>
      <c r="C16" s="12" t="n">
        <v>3000</v>
      </c>
      <c r="D16" s="12" t="n">
        <v>25000</v>
      </c>
      <c r="E16" s="8" t="s">
        <v>42</v>
      </c>
      <c r="F16" s="10" t="s">
        <v>46</v>
      </c>
      <c r="G16" s="10" t="s">
        <v>446</v>
      </c>
    </row>
    <row r="17" customFormat="false" ht="23.25" hidden="false" customHeight="true" outlineLevel="0" collapsed="false">
      <c r="A17" s="8" t="s">
        <v>454</v>
      </c>
      <c r="B17" s="8" t="s">
        <v>459</v>
      </c>
      <c r="C17" s="12" t="n">
        <v>15000</v>
      </c>
      <c r="D17" s="12" t="n">
        <v>80000</v>
      </c>
      <c r="E17" s="8" t="s">
        <v>42</v>
      </c>
      <c r="F17" s="10" t="s">
        <v>46</v>
      </c>
      <c r="G17" s="10" t="s">
        <v>446</v>
      </c>
    </row>
    <row r="18" customFormat="false" ht="23.25" hidden="false" customHeight="true" outlineLevel="0" collapsed="false">
      <c r="A18" s="8" t="s">
        <v>454</v>
      </c>
      <c r="B18" s="8" t="s">
        <v>460</v>
      </c>
      <c r="C18" s="12" t="n">
        <v>6000</v>
      </c>
      <c r="D18" s="12" t="n">
        <v>45000</v>
      </c>
      <c r="E18" s="8" t="s">
        <v>42</v>
      </c>
      <c r="F18" s="10" t="s">
        <v>46</v>
      </c>
      <c r="G18" s="10" t="s">
        <v>446</v>
      </c>
    </row>
  </sheetData>
  <dataValidations count="1">
    <dataValidation allowBlank="true" errorStyle="stop" operator="between" showDropDown="false" showErrorMessage="false" showInputMessage="false" sqref="F5:F18" type="list">
      <formula1>"Accept,Change,Reject"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2"/>
    <col collapsed="false" customWidth="true" hidden="false" outlineLevel="0" max="3" min="3" style="1" width="34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50"/>
    <col collapsed="false" customWidth="true" hidden="false" outlineLevel="0" max="7" min="7" style="1" width="18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461</v>
      </c>
    </row>
    <row r="2" customFormat="false" ht="15" hidden="false" customHeight="true" outlineLevel="0" collapsed="false">
      <c r="A2" s="6" t="s">
        <v>462</v>
      </c>
    </row>
    <row r="4" customFormat="false" ht="23.25" hidden="false" customHeight="true" outlineLevel="0" collapsed="false">
      <c r="A4" s="7" t="s">
        <v>23</v>
      </c>
      <c r="B4" s="7" t="s">
        <v>463</v>
      </c>
      <c r="C4" s="7" t="s">
        <v>464</v>
      </c>
      <c r="D4" s="7" t="s">
        <v>465</v>
      </c>
      <c r="E4" s="7" t="s">
        <v>466</v>
      </c>
      <c r="F4" s="7" t="s">
        <v>467</v>
      </c>
      <c r="G4" s="7" t="s">
        <v>468</v>
      </c>
      <c r="H4" s="7" t="s">
        <v>34</v>
      </c>
    </row>
    <row r="5" customFormat="false" ht="15" hidden="false" customHeight="true" outlineLevel="0" collapsed="false">
      <c r="A5" s="8" t="s">
        <v>469</v>
      </c>
      <c r="B5" s="8" t="s">
        <v>470</v>
      </c>
      <c r="C5" s="8" t="s">
        <v>471</v>
      </c>
      <c r="D5" s="16" t="n">
        <f aca="false">Parameters!E51</f>
        <v>12</v>
      </c>
      <c r="E5" s="8" t="s">
        <v>221</v>
      </c>
      <c r="F5" s="8" t="s">
        <v>472</v>
      </c>
      <c r="G5" s="8" t="s">
        <v>473</v>
      </c>
      <c r="H5" s="8" t="s">
        <v>45</v>
      </c>
    </row>
    <row r="6" customFormat="false" ht="15" hidden="false" customHeight="true" outlineLevel="0" collapsed="false">
      <c r="A6" s="8" t="s">
        <v>474</v>
      </c>
      <c r="B6" s="8" t="s">
        <v>475</v>
      </c>
      <c r="C6" s="8" t="s">
        <v>476</v>
      </c>
      <c r="D6" s="16" t="n">
        <f aca="false">Parameters!E52</f>
        <v>6</v>
      </c>
      <c r="E6" s="8" t="s">
        <v>225</v>
      </c>
      <c r="F6" s="8" t="s">
        <v>477</v>
      </c>
      <c r="G6" s="8" t="s">
        <v>473</v>
      </c>
      <c r="H6" s="8" t="s">
        <v>45</v>
      </c>
    </row>
    <row r="7" customFormat="false" ht="15" hidden="false" customHeight="true" outlineLevel="0" collapsed="false">
      <c r="A7" s="8" t="s">
        <v>478</v>
      </c>
      <c r="B7" s="8" t="s">
        <v>479</v>
      </c>
      <c r="C7" s="8" t="s">
        <v>480</v>
      </c>
      <c r="D7" s="16" t="n">
        <f aca="false">Parameters!E53</f>
        <v>6</v>
      </c>
      <c r="E7" s="8" t="s">
        <v>228</v>
      </c>
      <c r="F7" s="8" t="s">
        <v>481</v>
      </c>
      <c r="G7" s="8" t="s">
        <v>482</v>
      </c>
      <c r="H7" s="8" t="s">
        <v>45</v>
      </c>
    </row>
    <row r="8" customFormat="false" ht="15" hidden="false" customHeight="true" outlineLevel="0" collapsed="false">
      <c r="A8" s="8" t="s">
        <v>483</v>
      </c>
      <c r="B8" s="8" t="s">
        <v>484</v>
      </c>
      <c r="C8" s="8" t="s">
        <v>471</v>
      </c>
      <c r="D8" s="16" t="n">
        <f aca="false">Parameters!E54</f>
        <v>8</v>
      </c>
      <c r="E8" s="8" t="s">
        <v>231</v>
      </c>
      <c r="F8" s="8" t="s">
        <v>485</v>
      </c>
      <c r="G8" s="8" t="s">
        <v>473</v>
      </c>
      <c r="H8" s="8" t="s">
        <v>45</v>
      </c>
    </row>
    <row r="9" customFormat="false" ht="15" hidden="false" customHeight="true" outlineLevel="0" collapsed="false">
      <c r="A9" s="8" t="s">
        <v>486</v>
      </c>
      <c r="B9" s="8" t="s">
        <v>487</v>
      </c>
      <c r="C9" s="8" t="s">
        <v>476</v>
      </c>
      <c r="D9" s="16" t="n">
        <f aca="false">Parameters!E55</f>
        <v>5</v>
      </c>
      <c r="E9" s="8" t="s">
        <v>234</v>
      </c>
      <c r="F9" s="8" t="s">
        <v>488</v>
      </c>
      <c r="G9" s="8" t="s">
        <v>473</v>
      </c>
      <c r="H9" s="8" t="s">
        <v>45</v>
      </c>
    </row>
    <row r="10" customFormat="false" ht="15" hidden="false" customHeight="true" outlineLevel="0" collapsed="false">
      <c r="A10" s="8" t="s">
        <v>489</v>
      </c>
      <c r="B10" s="8" t="s">
        <v>490</v>
      </c>
      <c r="C10" s="8" t="s">
        <v>491</v>
      </c>
      <c r="D10" s="17" t="n">
        <f aca="false">Parameters!E26</f>
        <v>0.25</v>
      </c>
      <c r="E10" s="8" t="s">
        <v>130</v>
      </c>
      <c r="F10" s="8" t="s">
        <v>492</v>
      </c>
      <c r="G10" s="8" t="s">
        <v>493</v>
      </c>
      <c r="H10" s="8" t="s">
        <v>45</v>
      </c>
    </row>
    <row r="11" customFormat="false" ht="15" hidden="false" customHeight="true" outlineLevel="0" collapsed="false">
      <c r="A11" s="8" t="s">
        <v>494</v>
      </c>
      <c r="B11" s="8" t="s">
        <v>495</v>
      </c>
      <c r="C11" s="8" t="s">
        <v>496</v>
      </c>
      <c r="D11" s="17" t="n">
        <f aca="false">Parameters!E28</f>
        <v>-0.05</v>
      </c>
      <c r="E11" s="8" t="s">
        <v>137</v>
      </c>
      <c r="F11" s="8" t="s">
        <v>497</v>
      </c>
      <c r="G11" s="8" t="s">
        <v>493</v>
      </c>
      <c r="H11" s="8" t="s">
        <v>45</v>
      </c>
    </row>
    <row r="12" customFormat="false" ht="15" hidden="false" customHeight="true" outlineLevel="0" collapsed="false">
      <c r="A12" s="8" t="s">
        <v>498</v>
      </c>
      <c r="B12" s="8" t="s">
        <v>499</v>
      </c>
      <c r="C12" s="8" t="s">
        <v>500</v>
      </c>
      <c r="D12" s="16" t="n">
        <f aca="false">Parameters!E45</f>
        <v>4</v>
      </c>
      <c r="E12" s="8" t="s">
        <v>197</v>
      </c>
      <c r="F12" s="8" t="s">
        <v>501</v>
      </c>
      <c r="G12" s="8" t="s">
        <v>493</v>
      </c>
      <c r="H12" s="8" t="s">
        <v>45</v>
      </c>
    </row>
    <row r="13" customFormat="false" ht="15" hidden="false" customHeight="true" outlineLevel="0" collapsed="false">
      <c r="A13" s="8" t="s">
        <v>502</v>
      </c>
      <c r="B13" s="8" t="s">
        <v>503</v>
      </c>
      <c r="C13" s="8" t="s">
        <v>504</v>
      </c>
      <c r="D13" s="16" t="n">
        <f aca="false">Parameters!E38</f>
        <v>15</v>
      </c>
      <c r="E13" s="8" t="s">
        <v>171</v>
      </c>
      <c r="F13" s="8" t="s">
        <v>505</v>
      </c>
      <c r="G13" s="8" t="s">
        <v>493</v>
      </c>
      <c r="H13" s="8" t="s">
        <v>45</v>
      </c>
    </row>
    <row r="14" customFormat="false" ht="15" hidden="false" customHeight="true" outlineLevel="0" collapsed="false">
      <c r="A14" s="8" t="s">
        <v>506</v>
      </c>
      <c r="B14" s="8" t="s">
        <v>158</v>
      </c>
      <c r="C14" s="8" t="s">
        <v>507</v>
      </c>
      <c r="D14" s="17" t="n">
        <f aca="false">Parameters!E34</f>
        <v>0.07</v>
      </c>
      <c r="E14" s="8" t="s">
        <v>156</v>
      </c>
      <c r="F14" s="8" t="s">
        <v>508</v>
      </c>
      <c r="G14" s="8" t="s">
        <v>493</v>
      </c>
      <c r="H14" s="8" t="s">
        <v>45</v>
      </c>
    </row>
    <row r="15" customFormat="false" ht="15" hidden="false" customHeight="true" outlineLevel="0" collapsed="false">
      <c r="A15" s="8" t="s">
        <v>509</v>
      </c>
      <c r="B15" s="8" t="s">
        <v>510</v>
      </c>
      <c r="C15" s="8" t="s">
        <v>511</v>
      </c>
      <c r="D15" s="16" t="n">
        <f aca="false">Parameters!E50</f>
        <v>10</v>
      </c>
      <c r="E15" s="8" t="s">
        <v>217</v>
      </c>
      <c r="F15" s="8" t="s">
        <v>512</v>
      </c>
      <c r="G15" s="8" t="s">
        <v>493</v>
      </c>
      <c r="H15" s="8" t="s">
        <v>45</v>
      </c>
    </row>
    <row r="16" customFormat="false" ht="15" hidden="false" customHeight="true" outlineLevel="0" collapsed="false">
      <c r="A16" s="8" t="s">
        <v>513</v>
      </c>
      <c r="B16" s="8" t="s">
        <v>514</v>
      </c>
      <c r="C16" s="8" t="s">
        <v>515</v>
      </c>
      <c r="D16" s="18" t="n">
        <f aca="false">Parameters!E22</f>
        <v>15</v>
      </c>
      <c r="E16" s="8" t="s">
        <v>111</v>
      </c>
      <c r="F16" s="8" t="s">
        <v>516</v>
      </c>
      <c r="G16" s="8" t="s">
        <v>493</v>
      </c>
      <c r="H16" s="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70"/>
    <col collapsed="false" customWidth="true" hidden="false" outlineLevel="0" max="4" min="4" style="1" width="20"/>
    <col collapsed="false" customWidth="true" hidden="false" outlineLevel="0" max="5" min="5" style="1" width="8"/>
    <col collapsed="false" customWidth="true" hidden="false" outlineLevel="0" max="7" min="6" style="1" width="50"/>
  </cols>
  <sheetData>
    <row r="1" customFormat="false" ht="17.25" hidden="false" customHeight="true" outlineLevel="0" collapsed="false">
      <c r="A1" s="2" t="s">
        <v>517</v>
      </c>
    </row>
    <row r="3" customFormat="false" ht="15" hidden="false" customHeight="true" outlineLevel="0" collapsed="false">
      <c r="A3" s="7" t="s">
        <v>23</v>
      </c>
      <c r="B3" s="7" t="s">
        <v>518</v>
      </c>
      <c r="C3" s="7" t="s">
        <v>519</v>
      </c>
      <c r="D3" s="7" t="s">
        <v>520</v>
      </c>
      <c r="E3" s="7" t="s">
        <v>521</v>
      </c>
      <c r="F3" s="7" t="s">
        <v>522</v>
      </c>
      <c r="G3" s="7" t="s">
        <v>523</v>
      </c>
    </row>
    <row r="4" customFormat="false" ht="23.25" hidden="false" customHeight="true" outlineLevel="0" collapsed="false">
      <c r="A4" s="8" t="s">
        <v>132</v>
      </c>
      <c r="B4" s="8" t="s">
        <v>524</v>
      </c>
      <c r="C4" s="8" t="s">
        <v>525</v>
      </c>
      <c r="D4" s="8" t="s">
        <v>526</v>
      </c>
      <c r="E4" s="8" t="s">
        <v>114</v>
      </c>
      <c r="F4" s="8" t="s">
        <v>527</v>
      </c>
      <c r="G4" s="8" t="s">
        <v>528</v>
      </c>
    </row>
    <row r="5" customFormat="false" ht="15" hidden="false" customHeight="true" outlineLevel="0" collapsed="false">
      <c r="A5" s="8" t="s">
        <v>529</v>
      </c>
      <c r="B5" s="8" t="s">
        <v>530</v>
      </c>
      <c r="C5" s="8" t="s">
        <v>531</v>
      </c>
      <c r="D5" s="8" t="s">
        <v>532</v>
      </c>
      <c r="E5" s="8" t="s">
        <v>114</v>
      </c>
      <c r="F5" s="8" t="s">
        <v>533</v>
      </c>
      <c r="G5" s="8" t="s">
        <v>534</v>
      </c>
    </row>
    <row r="6" customFormat="false" ht="23.25" hidden="false" customHeight="true" outlineLevel="0" collapsed="false">
      <c r="A6" s="8" t="s">
        <v>128</v>
      </c>
      <c r="B6" s="8" t="s">
        <v>535</v>
      </c>
      <c r="C6" s="8" t="s">
        <v>536</v>
      </c>
      <c r="D6" s="8" t="s">
        <v>537</v>
      </c>
      <c r="E6" s="8" t="s">
        <v>114</v>
      </c>
      <c r="F6" s="8" t="s">
        <v>538</v>
      </c>
      <c r="G6" s="8" t="s">
        <v>539</v>
      </c>
    </row>
    <row r="7" customFormat="false" ht="15" hidden="false" customHeight="true" outlineLevel="0" collapsed="false">
      <c r="A7" s="8" t="s">
        <v>326</v>
      </c>
      <c r="B7" s="8" t="s">
        <v>540</v>
      </c>
      <c r="C7" s="8" t="s">
        <v>541</v>
      </c>
      <c r="D7" s="8" t="s">
        <v>542</v>
      </c>
      <c r="E7" s="8" t="s">
        <v>114</v>
      </c>
      <c r="F7" s="8" t="s">
        <v>543</v>
      </c>
      <c r="G7" s="8" t="s">
        <v>544</v>
      </c>
    </row>
    <row r="8" customFormat="false" ht="23.25" hidden="false" customHeight="true" outlineLevel="0" collapsed="false">
      <c r="A8" s="8" t="s">
        <v>101</v>
      </c>
      <c r="B8" s="8" t="s">
        <v>545</v>
      </c>
      <c r="C8" s="8" t="s">
        <v>546</v>
      </c>
      <c r="D8" s="8" t="s">
        <v>547</v>
      </c>
      <c r="E8" s="8" t="s">
        <v>114</v>
      </c>
      <c r="F8" s="8" t="s">
        <v>548</v>
      </c>
      <c r="G8" s="8" t="s">
        <v>549</v>
      </c>
    </row>
    <row r="9" customFormat="false" ht="23.25" hidden="false" customHeight="true" outlineLevel="0" collapsed="false">
      <c r="A9" s="8" t="s">
        <v>109</v>
      </c>
      <c r="B9" s="8" t="s">
        <v>550</v>
      </c>
      <c r="C9" s="8" t="s">
        <v>551</v>
      </c>
      <c r="D9" s="8" t="s">
        <v>532</v>
      </c>
      <c r="E9" s="8" t="s">
        <v>114</v>
      </c>
      <c r="F9" s="8" t="s">
        <v>552</v>
      </c>
      <c r="G9" s="8" t="s">
        <v>553</v>
      </c>
    </row>
    <row r="10" customFormat="false" ht="15" hidden="false" customHeight="true" outlineLevel="0" collapsed="false">
      <c r="A10" s="8" t="s">
        <v>151</v>
      </c>
      <c r="B10" s="8" t="s">
        <v>554</v>
      </c>
      <c r="C10" s="8" t="s">
        <v>555</v>
      </c>
      <c r="D10" s="8" t="s">
        <v>556</v>
      </c>
      <c r="E10" s="8" t="s">
        <v>114</v>
      </c>
      <c r="F10" s="8" t="s">
        <v>557</v>
      </c>
      <c r="G10" s="8" t="s">
        <v>558</v>
      </c>
    </row>
    <row r="11" customFormat="false" ht="15" hidden="false" customHeight="true" outlineLevel="0" collapsed="false">
      <c r="A11" s="8" t="s">
        <v>155</v>
      </c>
      <c r="B11" s="8" t="s">
        <v>559</v>
      </c>
      <c r="C11" s="8" t="s">
        <v>560</v>
      </c>
      <c r="D11" s="8" t="s">
        <v>561</v>
      </c>
      <c r="E11" s="8" t="s">
        <v>114</v>
      </c>
      <c r="F11" s="8" t="s">
        <v>562</v>
      </c>
      <c r="G11" s="8" t="s">
        <v>563</v>
      </c>
    </row>
    <row r="12" customFormat="false" ht="23.25" hidden="false" customHeight="true" outlineLevel="0" collapsed="false">
      <c r="A12" s="8" t="s">
        <v>161</v>
      </c>
      <c r="B12" s="8" t="s">
        <v>564</v>
      </c>
      <c r="C12" s="8" t="s">
        <v>565</v>
      </c>
      <c r="D12" s="8" t="s">
        <v>526</v>
      </c>
      <c r="E12" s="8" t="s">
        <v>114</v>
      </c>
      <c r="F12" s="8" t="s">
        <v>566</v>
      </c>
      <c r="G12" s="8" t="s">
        <v>567</v>
      </c>
    </row>
    <row r="13" customFormat="false" ht="23.25" hidden="false" customHeight="true" outlineLevel="0" collapsed="false">
      <c r="A13" s="8" t="s">
        <v>177</v>
      </c>
      <c r="B13" s="8" t="s">
        <v>568</v>
      </c>
      <c r="C13" s="8" t="s">
        <v>569</v>
      </c>
      <c r="D13" s="8" t="s">
        <v>570</v>
      </c>
      <c r="E13" s="8" t="s">
        <v>97</v>
      </c>
      <c r="F13" s="8" t="s">
        <v>571</v>
      </c>
      <c r="G13" s="8" t="s">
        <v>572</v>
      </c>
    </row>
    <row r="14" customFormat="false" ht="15" hidden="false" customHeight="true" outlineLevel="0" collapsed="false">
      <c r="A14" s="8" t="s">
        <v>185</v>
      </c>
      <c r="B14" s="8" t="s">
        <v>573</v>
      </c>
      <c r="C14" s="8" t="s">
        <v>574</v>
      </c>
      <c r="D14" s="8" t="s">
        <v>575</v>
      </c>
      <c r="E14" s="8" t="s">
        <v>114</v>
      </c>
      <c r="F14" s="8" t="s">
        <v>576</v>
      </c>
      <c r="G14" s="8" t="s">
        <v>577</v>
      </c>
    </row>
    <row r="15" customFormat="false" ht="23.25" hidden="false" customHeight="true" outlineLevel="0" collapsed="false">
      <c r="A15" s="8" t="s">
        <v>181</v>
      </c>
      <c r="B15" s="8" t="s">
        <v>578</v>
      </c>
      <c r="C15" s="8" t="s">
        <v>579</v>
      </c>
      <c r="D15" s="8" t="s">
        <v>580</v>
      </c>
      <c r="E15" s="8" t="s">
        <v>97</v>
      </c>
      <c r="F15" s="8" t="s">
        <v>581</v>
      </c>
      <c r="G15" s="8" t="s">
        <v>582</v>
      </c>
    </row>
    <row r="16" customFormat="false" ht="23.25" hidden="false" customHeight="true" outlineLevel="0" collapsed="false">
      <c r="A16" s="8" t="s">
        <v>583</v>
      </c>
      <c r="B16" s="8" t="s">
        <v>584</v>
      </c>
      <c r="C16" s="8" t="s">
        <v>585</v>
      </c>
      <c r="D16" s="8" t="s">
        <v>586</v>
      </c>
      <c r="E16" s="8" t="s">
        <v>114</v>
      </c>
      <c r="F16" s="8" t="s">
        <v>587</v>
      </c>
      <c r="G16" s="8" t="s">
        <v>588</v>
      </c>
    </row>
    <row r="17" customFormat="false" ht="15" hidden="false" customHeight="true" outlineLevel="0" collapsed="false">
      <c r="A17" s="8" t="s">
        <v>212</v>
      </c>
      <c r="B17" s="8" t="s">
        <v>589</v>
      </c>
      <c r="C17" s="8" t="s">
        <v>590</v>
      </c>
      <c r="D17" s="8" t="s">
        <v>591</v>
      </c>
      <c r="E17" s="8" t="s">
        <v>213</v>
      </c>
      <c r="F17" s="8" t="s">
        <v>592</v>
      </c>
      <c r="G17" s="8" t="s">
        <v>593</v>
      </c>
    </row>
    <row r="18" customFormat="false" ht="23.25" hidden="false" customHeight="true" outlineLevel="0" collapsed="false">
      <c r="A18" s="8" t="s">
        <v>594</v>
      </c>
      <c r="B18" s="8" t="s">
        <v>595</v>
      </c>
      <c r="C18" s="8" t="s">
        <v>596</v>
      </c>
      <c r="D18" s="8" t="s">
        <v>561</v>
      </c>
      <c r="E18" s="8" t="s">
        <v>114</v>
      </c>
      <c r="F18" s="8" t="s">
        <v>597</v>
      </c>
      <c r="G18" s="8" t="s">
        <v>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2026-10-10T09:49:14Z</dcterms:created>
  <dc:creator>openpyxl</dc:creator>
  <dc:description/>
  <dc:language>en-US</dc:language>
  <cp:lastModifiedBy/>
  <dcterms:modified xsi:type="dcterms:W3CDTF">2026-10-11T07:36:05Z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