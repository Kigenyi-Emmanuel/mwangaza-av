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<sst xmlns="http://schemas.openxmlformats.org/spreadsheetml/2006/main" count="1261" uniqueCount="529">
  <si>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</si>
  <si>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</si>
  <si>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</si>
  <si>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</si>
  <si>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</si>
  <si>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</si>
  <si>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</si>
  <si>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</si>
  <si>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</si>
  <si>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</si>
  <si>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</si>
  <si>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</si>
  <si>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</si>
  <si>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</si>
  <si>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</si>
  <si>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</si>
  <si>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</si>
  <si>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</si>
  <si>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</si>
  <si>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</si>
  <si>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</si>
  <si>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</si>
  <si>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</si>
  <si>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</si>
  <si>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</si>
  <si>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</si>
  <si>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</si>
  <si>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</si>
  <si>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</si>
  <si>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</si>
  <si>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</si>
  <si>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</si>
  <si>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</si>
  <si>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</si>
  <si>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</si>
  <si>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</si>
  <si>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</si>
  <si>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</si>
  <si>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</si>
  <si>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</si>
  <si>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</si>
  <si>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</si>
  <si>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</si>
  <si>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</si>
  <si>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</si>
  <si>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</si>
  <si>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</si>
  <si>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</si>
  <si>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</si>
  <si>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</si>
  <si>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</si>
  <si>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</si>
  <si>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</si>
  <si>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</si>
  <si>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</si>
  <si>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</si>
  <si>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</si>
  <si>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</si>
  <si>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</si>
  <si>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</si>
  <si>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</si>
  <si>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</si>
  <si>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</si>
  <si>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</si>
  <si>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</si>
  <si>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</si>
  <si>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</si>
  <si>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</si>
  <si>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</si>
  <si>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</si>
  <si>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</si>
  <si>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</si>
  <si>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</si>
  <si>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</si>
  <si>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</si>
  <si>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</si>
  <si>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</si>
  <si>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</si>
  <si>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</si>
  <si>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</si>
  <si>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</si>
  <si>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</si>
  <si>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</si>
  <si>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</si>
  <si>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</si>
  <si>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</si>
  <si>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</si>
  <si>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</si>
  <si>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</si>
  <si>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</si>
  <si>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</si>
  <si>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</si>
  <si>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</si>
  <si>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</si>
  <si>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</si>
  <si>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</si>
  <si>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</si>
  <si>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</si>
  <si>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</si>
  <si>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</si>
  <si>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</si>
  <si>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</si>
  <si>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</si>
  <si>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</si>
  <si>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</si>
  <si>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</si>
  <si>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</si>
  <si>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</si>
  <si>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</si>
  <si>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</si>
  <si>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</si>
  <si>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</si>
  <si>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</si>
  <si>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</si>
  <si>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</si>
  <si>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</si>
  <si>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</si>
  <si>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</si>
  <si>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</si>
  <si>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</si>
  <si>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</si>
  <si>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</si>
  <si>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</si>
  <si>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</si>
  <si>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</si>
  <si>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</si>
  <si>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</si>
  <si>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</si>
  <si>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</si>
  <si>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</si>
  <si>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</si>
  <si>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</si>
  <si>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</si>
  <si>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</si>
  <si>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</si>
  <si>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</si>
  <si>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</si>
  <si>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</si>
  <si>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</si>
  <si>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</si>
  <si>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</si>
  <si>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</si>
  <si>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</si>
  <si>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</si>
  <si>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</si>
  <si>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</si>
  <si>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</si>
  <si>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</si>
  <si>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</si>
  <si>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</si>
  <si>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</si>
  <si>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</si>
  <si>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</si>
  <si>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</si>
  <si>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</si>
  <si>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</si>
  <si>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</si>
  <si>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</si>
  <si>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</si>
  <si>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</si>
  <si>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</si>
  <si>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</si>
  <si>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</si>
  <si>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</si>
  <si>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</si>
  <si>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</si>
  <si>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</si>
  <si>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</si>
  <si>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</si>
  <si>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</si>
  <si>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</si>
  <si>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</si>
  <si>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</si>
  <si>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</si>
  <si>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</si>
  <si>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</si>
  <si>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</si>
  <si>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</si>
  <si>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</si>
  <si>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</si>
  <si>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</si>
  <si>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</si>
  <si>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</si>
  <si>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</si>
  <si>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</si>
  <si>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</si>
  <si>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</si>
  <si>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</si>
  <si>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</si>
  <si>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</si>
  <si>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</si>
  <si>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</si>
  <si>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</si>
  <si>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</si>
  <si>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</si>
  <si>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</si>
  <si>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</si>
  <si>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</si>
  <si>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</si>
  <si>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</si>
  <si>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</si>
  <si>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</si>
  <si>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</si>
  <si>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</si>
  <si>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</si>
  <si>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</si>
  <si>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</si>
  <si>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</si>
  <si>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</si>
  <si>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</si>
  <si>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</si>
  <si>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</si>
  <si>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</si>
  <si>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</si>
  <si>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</si>
  <si>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</si>
  <si>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</si>
  <si>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</si>
  <si>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</si>
  <si>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</si>
  <si>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</si>
  <si>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</si>
  <si>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</si>
  <si>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</si>
  <si>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</si>
  <si>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</si>
  <si>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</si>
  <si>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</si>
  <si>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</si>
  <si>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</si>
  <si>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</si>
  <si>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</si>
  <si>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</si>
  <si>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</si>
  <si>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</si>
  <si>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</si>
  <si>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</si>
  <si>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</si>
  <si>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</si>
  <si>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</si>
  <si>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</si>
  <si>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</si>
  <si>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</si>
  <si>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</si>
  <si>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</si>
  <si>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</si>
  <si>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</si>
  <si>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</si>
  <si>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</si>
  <si>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</si>
  <si>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</si>
  <si>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</si>
  <si>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</si>
  <si>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</si>
  <si>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</si>
  <si>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</si>
  <si>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</si>
  <si>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</si>
  <si>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</si>
  <si>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</si>
  <si>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</si>
  <si>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</si>
  <si>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</si>
  <si>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</si>
  <si>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</si>
  <si>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</si>
  <si>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</si>
  <si>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</si>
  <si>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</si>
  <si>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</si>
  <si>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</si>
  <si>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</si>
  <si>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</si>
  <si>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</si>
  <si>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</si>
  <si>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</si>
  <si>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</si>
  <si>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</si>
  <si>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</si>
  <si>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</si>
  <si>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</si>
  <si>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</si>
  <si>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</si>
  <si>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</si>
  <si>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</si>
  <si>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(added Stage 7)</t>
  </si>
  <si>
    <t xml:space="preserve">Added at Stage 7; covered by the owner's 'use the proposed numbers' choice. Say so if you want to change it.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</si>
  <si>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</si>
  <si>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</si>
  <si>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</si>
  <si>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</si>
  <si>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</si>
  <si>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</si>
  <si>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</si>
  <si>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</si>
  <si>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</si>
  <si>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</si>
  <si>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</si>
  <si>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</si>
  <si>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</si>
  <si>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</si>
  <si>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</si>
  <si>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</si>
  <si>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</si>
  <si>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</si>
  <si>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</si>
  <si>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</si>
  <si>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</si>
  <si>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</si>
  <si>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C06</t>
  </si>
  <si>
    <t xml:space="preserve">Stage 8 additions</t>
  </si>
  <si>
    <t xml:space="preserve">Share of non-won quotes that expire with no answer</t>
  </si>
  <si>
    <t xml:space="preserve">Quotes with status expired and no decision date</t>
  </si>
  <si>
    <t xml:space="preserve">ACCEPTED (added Stage 8)</t>
  </si>
  <si>
    <t xml:space="preserve">Added at Stage 8; covered by the owner's 'use the proposed numbers' choice. Say so if you want to change it.</t>
  </si>
  <si>
    <t xml:space="preserve">OF1</t>
  </si>
  <si>
    <t xml:space="preserve">Share of quotes and jobs handled by the Nairobi office (rest: Mombasa)</t>
  </si>
  <si>
    <t xml:space="preserve">office_name on quotes, jobs, orders and bookings</t>
  </si>
  <si>
    <t xml:space="preserve">D06</t>
  </si>
  <si>
    <t xml:space="preserve">Share of a duplicated customer's records that use the duplicate code</t>
  </si>
  <si>
    <t xml:space="preserve">Makes the duplicate customers matter: some quotes and jobs point to the duplicate code</t>
  </si>
  <si>
    <t xml:space="preserve">M10</t>
  </si>
  <si>
    <t xml:space="preserve">Cost noise on equipment, subcontractor and transport</t>
  </si>
  <si>
    <t xml:space="preserve">Actual cost against quoted cost, ordinary jobs</t>
  </si>
  <si>
    <t xml:space="preserve">CM1</t>
  </si>
  <si>
    <t xml:space="preserve">Share of a job's quoted cost: Equipment</t>
  </si>
  <si>
    <t xml:space="preserve">S4</t>
  </si>
  <si>
    <t xml:space="preserve">The five shares CM1 to CM5 must add up to 100%. Labour (CM2 + CM3) is 46% of cost, about 30% of price at a 35% margin, matching M02</t>
  </si>
  <si>
    <t xml:space="preserve">CM2</t>
  </si>
  <si>
    <t xml:space="preserve">Share of a job's quoted cost: Installation labour</t>
  </si>
  <si>
    <t xml:space="preserve">As above</t>
  </si>
  <si>
    <t xml:space="preserve">CM3</t>
  </si>
  <si>
    <t xml:space="preserve">Share of a job's quoted cost: Programming and commissioning labour</t>
  </si>
  <si>
    <t xml:space="preserve">As above. Commissioning is where estimates go wrong most (S1)</t>
  </si>
  <si>
    <t xml:space="preserve">CM4</t>
  </si>
  <si>
    <t xml:space="preserve">Share of a job's quoted cost: Subcontractor</t>
  </si>
  <si>
    <t xml:space="preserve">CM5</t>
  </si>
  <si>
    <t xml:space="preserve">Share of a job's quoted cost: Transport and logistics</t>
  </si>
  <si>
    <t xml:space="preserve">L01</t>
  </si>
  <si>
    <t xml:space="preserve">Installation labour rate (KES per hour)</t>
  </si>
  <si>
    <t xml:space="preserve">unit_cost on installation labour lines. PLACEHOLDER: Kenyan rates not verified.</t>
  </si>
  <si>
    <t xml:space="preserve">L02</t>
  </si>
  <si>
    <t xml:space="preserve">Programming and commissioning labour rate (KES per hour)</t>
  </si>
  <si>
    <t xml:space="preserve">unit_cost on commissioning labour lines. PLACEHOLDER: Kenyan rates not verified.</t>
  </si>
  <si>
    <t xml:space="preserve">G22</t>
  </si>
  <si>
    <t xml:space="preserve">Commissioning-heavy job types</t>
  </si>
  <si>
    <t xml:space="preserve">Control room installation; Smart office and automation</t>
  </si>
  <si>
    <t xml:space="preserve">These get the labour overrun M04 on commissioning labour (planted problem X06)</t>
  </si>
  <si>
    <t xml:space="preserve">G23</t>
  </si>
  <si>
    <t xml:space="preserve">Loss-making job type</t>
  </si>
  <si>
    <t xml:space="preserve">Auditorium and hall fit-out</t>
  </si>
  <si>
    <t xml:space="preserve">Average margin set by M06 (planted problem X07)</t>
  </si>
  <si>
    <t xml:space="preserve">G24</t>
  </si>
  <si>
    <t xml:space="preserve">Job value scale factor by job type (multiplies the M07 spread)</t>
  </si>
  <si>
    <t xml:space="preserve">Maintenance 0.3; Public address 0.5; Conference room 0.6; Stage lighting 0.8; Video wall 1.0; Smart office 1.0; Control room 2.0; Auditorium 2.5</t>
  </si>
  <si>
    <t xml:space="preserve">So a maintenance contract is not as big as an auditorium fit-out. Values are clipped to the M07 range</t>
  </si>
  <si>
    <t xml:space="preserve">G25</t>
  </si>
  <si>
    <t xml:space="preserve">Quote dates</t>
  </si>
  <si>
    <t xml:space="preserve">Spread evenly from 2023-10-01 to 2026-09-30</t>
  </si>
  <si>
    <t xml:space="preserve">quote_date. Quotes decided after the as-of date stay open</t>
  </si>
  <si>
    <t xml:space="preserve">G26</t>
  </si>
  <si>
    <t xml:space="preserve">Job timing</t>
  </si>
  <si>
    <t xml:space="preserve">Starts 0 to 30 days after the decision; lasts about 7 to 72 days, longer for bigger jobs; no cancelled jobs</t>
  </si>
  <si>
    <t xml:space="preserve">start_date and end_date. Jobs not finished by the as-of date are in_progress</t>
  </si>
  <si>
    <t xml:space="preserve">G27</t>
  </si>
  <si>
    <t xml:space="preserve">How the quote decision time is spread (shape)</t>
  </si>
  <si>
    <t xml:space="preserve">Days from quote to decision = low + (high - low) x (random number to the power 4). The mean matches the C04 central value</t>
  </si>
  <si>
    <t xml:space="preserve">Most quotes are decided quickly, a few take long</t>
  </si>
  <si>
    <t xml:space="preserve">Price bands per category (KES, before VAT)</t>
  </si>
  <si>
    <t xml:space="preserve">PLACEHOLDERS for realistic scale. Not Kenyan market prices; I cannot verify those.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</si>
  <si>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</si>
  <si>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</si>
  <si>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</si>
  <si>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</si>
  <si>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</si>
  <si>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</si>
  <si>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Added at Stage 7; covered by the owner's 'use the proposed numbers' choice.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</si>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</sst>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#,##0"/>
    <numFmt numFmtId="167" formatCode="0%;\-0%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89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89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0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3" t="n">
        <v>0.02</v>
      </c>
      <c r="E36" s="13" t="n">
        <v>0.08</v>
      </c>
      <c r="F36" s="13" t="n">
        <v>0.25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45</v>
      </c>
      <c r="M36" s="10" t="s">
        <v>46</v>
      </c>
      <c r="N36" s="10" t="s">
        <v>47</v>
      </c>
    </row>
    <row r="37" customFormat="false" ht="23.25" hidden="false" customHeight="true" outlineLevel="0" collapsed="false">
      <c r="A37" s="8" t="s">
        <v>166</v>
      </c>
      <c r="B37" s="8" t="s">
        <v>149</v>
      </c>
      <c r="C37" s="8" t="s">
        <v>167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168</v>
      </c>
      <c r="L37" s="8" t="s">
        <v>169</v>
      </c>
      <c r="M37" s="10" t="s">
        <v>46</v>
      </c>
      <c r="N37" s="10" t="s">
        <v>170</v>
      </c>
    </row>
    <row r="38" customFormat="false" ht="15" hidden="false" customHeight="true" outlineLevel="0" collapsed="false">
      <c r="A38" s="8" t="s">
        <v>171</v>
      </c>
      <c r="B38" s="8" t="s">
        <v>149</v>
      </c>
      <c r="C38" s="8" t="s">
        <v>172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173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174</v>
      </c>
      <c r="B39" s="8" t="s">
        <v>175</v>
      </c>
      <c r="C39" s="8" t="s">
        <v>176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177</v>
      </c>
      <c r="J39" s="8" t="s">
        <v>97</v>
      </c>
      <c r="K39" s="8" t="s">
        <v>178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179</v>
      </c>
      <c r="B40" s="8" t="s">
        <v>175</v>
      </c>
      <c r="C40" s="8" t="s">
        <v>180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181</v>
      </c>
      <c r="J40" s="8" t="s">
        <v>97</v>
      </c>
      <c r="K40" s="8" t="s">
        <v>182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183</v>
      </c>
      <c r="B41" s="8" t="s">
        <v>175</v>
      </c>
      <c r="C41" s="8" t="s">
        <v>184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185</v>
      </c>
      <c r="J41" s="8" t="s">
        <v>114</v>
      </c>
      <c r="K41" s="8" t="s">
        <v>186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187</v>
      </c>
      <c r="B42" s="8" t="s">
        <v>175</v>
      </c>
      <c r="C42" s="8" t="s">
        <v>188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185</v>
      </c>
      <c r="J42" s="8" t="s">
        <v>114</v>
      </c>
      <c r="K42" s="8" t="s">
        <v>189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190</v>
      </c>
      <c r="B43" s="8" t="s">
        <v>175</v>
      </c>
      <c r="C43" s="8" t="s">
        <v>191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192</v>
      </c>
      <c r="J43" s="8" t="s">
        <v>97</v>
      </c>
      <c r="K43" s="8" t="s">
        <v>193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194</v>
      </c>
      <c r="B44" s="8" t="s">
        <v>175</v>
      </c>
      <c r="C44" s="8" t="s">
        <v>195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177</v>
      </c>
      <c r="J44" s="8" t="s">
        <v>97</v>
      </c>
      <c r="K44" s="8" t="s">
        <v>196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197</v>
      </c>
      <c r="B45" s="8" t="s">
        <v>175</v>
      </c>
      <c r="C45" s="8" t="s">
        <v>198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199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200</v>
      </c>
      <c r="B46" s="8" t="s">
        <v>175</v>
      </c>
      <c r="C46" s="8" t="s">
        <v>201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202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203</v>
      </c>
      <c r="B47" s="8" t="s">
        <v>175</v>
      </c>
      <c r="C47" s="8" t="s">
        <v>204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205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206</v>
      </c>
      <c r="B48" s="8" t="s">
        <v>175</v>
      </c>
      <c r="C48" s="8" t="s">
        <v>207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208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209</v>
      </c>
      <c r="B49" s="8" t="s">
        <v>175</v>
      </c>
      <c r="C49" s="8" t="s">
        <v>210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211</v>
      </c>
      <c r="I49" s="8" t="s">
        <v>212</v>
      </c>
      <c r="J49" s="8" t="s">
        <v>213</v>
      </c>
      <c r="K49" s="8" t="s">
        <v>214</v>
      </c>
      <c r="L49" s="8" t="s">
        <v>215</v>
      </c>
      <c r="M49" s="10" t="s">
        <v>46</v>
      </c>
      <c r="N49" s="10" t="s">
        <v>216</v>
      </c>
    </row>
    <row r="50" customFormat="false" ht="15" hidden="false" customHeight="true" outlineLevel="0" collapsed="false">
      <c r="A50" s="8" t="s">
        <v>217</v>
      </c>
      <c r="B50" s="8" t="s">
        <v>218</v>
      </c>
      <c r="C50" s="8" t="s">
        <v>219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220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221</v>
      </c>
      <c r="B51" s="8" t="s">
        <v>222</v>
      </c>
      <c r="C51" s="8" t="s">
        <v>223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224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225</v>
      </c>
      <c r="B52" s="8" t="s">
        <v>222</v>
      </c>
      <c r="C52" s="8" t="s">
        <v>226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227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228</v>
      </c>
      <c r="B53" s="8" t="s">
        <v>222</v>
      </c>
      <c r="C53" s="8" t="s">
        <v>229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230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231</v>
      </c>
      <c r="B54" s="8" t="s">
        <v>222</v>
      </c>
      <c r="C54" s="8" t="s">
        <v>232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233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234</v>
      </c>
      <c r="B55" s="8" t="s">
        <v>222</v>
      </c>
      <c r="C55" s="8" t="s">
        <v>235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236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237</v>
      </c>
      <c r="B56" s="8" t="s">
        <v>238</v>
      </c>
      <c r="C56" s="8" t="s">
        <v>239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240</v>
      </c>
      <c r="L56" s="8" t="s">
        <v>241</v>
      </c>
      <c r="M56" s="10" t="s">
        <v>46</v>
      </c>
      <c r="N56" s="10" t="s">
        <v>242</v>
      </c>
    </row>
    <row r="57" customFormat="false" ht="34.5" hidden="false" customHeight="true" outlineLevel="0" collapsed="false">
      <c r="A57" s="8" t="s">
        <v>243</v>
      </c>
      <c r="B57" s="8" t="s">
        <v>238</v>
      </c>
      <c r="C57" s="8" t="s">
        <v>244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245</v>
      </c>
      <c r="L57" s="8" t="s">
        <v>241</v>
      </c>
      <c r="M57" s="10" t="s">
        <v>46</v>
      </c>
      <c r="N57" s="10" t="s">
        <v>242</v>
      </c>
    </row>
    <row r="58" customFormat="false" ht="34.5" hidden="false" customHeight="true" outlineLevel="0" collapsed="false">
      <c r="A58" s="8" t="s">
        <v>246</v>
      </c>
      <c r="B58" s="8" t="s">
        <v>238</v>
      </c>
      <c r="C58" s="8" t="s">
        <v>247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245</v>
      </c>
      <c r="L58" s="8" t="s">
        <v>241</v>
      </c>
      <c r="M58" s="10" t="s">
        <v>46</v>
      </c>
      <c r="N58" s="10" t="s">
        <v>242</v>
      </c>
    </row>
    <row r="59" customFormat="false" ht="34.5" hidden="false" customHeight="true" outlineLevel="0" collapsed="false">
      <c r="A59" s="8" t="s">
        <v>248</v>
      </c>
      <c r="B59" s="8" t="s">
        <v>238</v>
      </c>
      <c r="C59" s="8" t="s">
        <v>249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245</v>
      </c>
      <c r="L59" s="8" t="s">
        <v>241</v>
      </c>
      <c r="M59" s="10" t="s">
        <v>46</v>
      </c>
      <c r="N59" s="10" t="s">
        <v>242</v>
      </c>
    </row>
    <row r="60" customFormat="false" ht="34.5" hidden="false" customHeight="true" outlineLevel="0" collapsed="false">
      <c r="A60" s="8" t="s">
        <v>250</v>
      </c>
      <c r="B60" s="8" t="s">
        <v>238</v>
      </c>
      <c r="C60" s="8" t="s">
        <v>251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245</v>
      </c>
      <c r="L60" s="8" t="s">
        <v>241</v>
      </c>
      <c r="M60" s="10" t="s">
        <v>46</v>
      </c>
      <c r="N60" s="10" t="s">
        <v>242</v>
      </c>
    </row>
    <row r="61" customFormat="false" ht="34.5" hidden="false" customHeight="true" outlineLevel="0" collapsed="false">
      <c r="A61" s="8" t="s">
        <v>252</v>
      </c>
      <c r="B61" s="8" t="s">
        <v>238</v>
      </c>
      <c r="C61" s="8" t="s">
        <v>253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245</v>
      </c>
      <c r="L61" s="8" t="s">
        <v>241</v>
      </c>
      <c r="M61" s="10" t="s">
        <v>46</v>
      </c>
      <c r="N61" s="10" t="s">
        <v>242</v>
      </c>
    </row>
    <row r="62" customFormat="false" ht="34.5" hidden="false" customHeight="true" outlineLevel="0" collapsed="false">
      <c r="A62" s="8" t="s">
        <v>254</v>
      </c>
      <c r="B62" s="8" t="s">
        <v>238</v>
      </c>
      <c r="C62" s="8" t="s">
        <v>255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256</v>
      </c>
      <c r="L62" s="8" t="s">
        <v>241</v>
      </c>
      <c r="M62" s="10" t="s">
        <v>46</v>
      </c>
      <c r="N62" s="10" t="s">
        <v>242</v>
      </c>
    </row>
    <row r="63" customFormat="false" ht="34.5" hidden="false" customHeight="true" outlineLevel="0" collapsed="false">
      <c r="A63" s="8" t="s">
        <v>257</v>
      </c>
      <c r="B63" s="8" t="s">
        <v>238</v>
      </c>
      <c r="C63" s="8" t="s">
        <v>258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177</v>
      </c>
      <c r="J63" s="8" t="s">
        <v>97</v>
      </c>
      <c r="K63" s="8" t="s">
        <v>259</v>
      </c>
      <c r="L63" s="8" t="s">
        <v>241</v>
      </c>
      <c r="M63" s="10" t="s">
        <v>46</v>
      </c>
      <c r="N63" s="10" t="s">
        <v>242</v>
      </c>
    </row>
    <row r="64" customFormat="false" ht="34.5" hidden="false" customHeight="true" outlineLevel="0" collapsed="false">
      <c r="A64" s="8" t="s">
        <v>260</v>
      </c>
      <c r="B64" s="8" t="s">
        <v>238</v>
      </c>
      <c r="C64" s="8" t="s">
        <v>261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177</v>
      </c>
      <c r="J64" s="8" t="s">
        <v>97</v>
      </c>
      <c r="K64" s="8" t="s">
        <v>259</v>
      </c>
      <c r="L64" s="8" t="s">
        <v>241</v>
      </c>
      <c r="M64" s="10" t="s">
        <v>46</v>
      </c>
      <c r="N64" s="10" t="s">
        <v>242</v>
      </c>
    </row>
    <row r="65" customFormat="false" ht="34.5" hidden="false" customHeight="true" outlineLevel="0" collapsed="false">
      <c r="A65" s="8" t="s">
        <v>262</v>
      </c>
      <c r="B65" s="8" t="s">
        <v>238</v>
      </c>
      <c r="C65" s="8" t="s">
        <v>263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177</v>
      </c>
      <c r="J65" s="8" t="s">
        <v>97</v>
      </c>
      <c r="K65" s="8" t="s">
        <v>264</v>
      </c>
      <c r="L65" s="8" t="s">
        <v>241</v>
      </c>
      <c r="M65" s="10" t="s">
        <v>46</v>
      </c>
      <c r="N65" s="10" t="s">
        <v>242</v>
      </c>
    </row>
    <row r="66" customFormat="false" ht="34.5" hidden="false" customHeight="true" outlineLevel="0" collapsed="false">
      <c r="A66" s="8" t="s">
        <v>265</v>
      </c>
      <c r="B66" s="8" t="s">
        <v>238</v>
      </c>
      <c r="C66" s="8" t="s">
        <v>266</v>
      </c>
      <c r="D66" s="8"/>
      <c r="E66" s="9" t="s">
        <v>267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268</v>
      </c>
      <c r="L66" s="8" t="s">
        <v>241</v>
      </c>
      <c r="M66" s="10" t="s">
        <v>46</v>
      </c>
      <c r="N66" s="10" t="s">
        <v>242</v>
      </c>
    </row>
    <row r="67" customFormat="false" ht="34.5" hidden="false" customHeight="true" outlineLevel="0" collapsed="false">
      <c r="A67" s="8" t="s">
        <v>269</v>
      </c>
      <c r="B67" s="8" t="s">
        <v>238</v>
      </c>
      <c r="C67" s="8" t="s">
        <v>270</v>
      </c>
      <c r="D67" s="8"/>
      <c r="E67" s="9" t="s">
        <v>271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272</v>
      </c>
      <c r="L67" s="8" t="s">
        <v>241</v>
      </c>
      <c r="M67" s="10" t="s">
        <v>46</v>
      </c>
      <c r="N67" s="10" t="s">
        <v>242</v>
      </c>
    </row>
    <row r="68" customFormat="false" ht="34.5" hidden="false" customHeight="true" outlineLevel="0" collapsed="false">
      <c r="A68" s="8" t="s">
        <v>273</v>
      </c>
      <c r="B68" s="8" t="s">
        <v>238</v>
      </c>
      <c r="C68" s="8" t="s">
        <v>274</v>
      </c>
      <c r="D68" s="8"/>
      <c r="E68" s="9" t="s">
        <v>275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276</v>
      </c>
      <c r="L68" s="8" t="s">
        <v>241</v>
      </c>
      <c r="M68" s="10" t="s">
        <v>46</v>
      </c>
      <c r="N68" s="10" t="s">
        <v>242</v>
      </c>
    </row>
    <row r="69" customFormat="false" ht="45.75" hidden="false" customHeight="true" outlineLevel="0" collapsed="false">
      <c r="A69" s="8" t="s">
        <v>277</v>
      </c>
      <c r="B69" s="8" t="s">
        <v>238</v>
      </c>
      <c r="C69" s="8" t="s">
        <v>278</v>
      </c>
      <c r="D69" s="8"/>
      <c r="E69" s="9" t="s">
        <v>279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280</v>
      </c>
      <c r="L69" s="8" t="s">
        <v>241</v>
      </c>
      <c r="M69" s="10" t="s">
        <v>46</v>
      </c>
      <c r="N69" s="10" t="s">
        <v>242</v>
      </c>
    </row>
    <row r="70" customFormat="false" ht="34.5" hidden="false" customHeight="true" outlineLevel="0" collapsed="false">
      <c r="A70" s="8" t="s">
        <v>281</v>
      </c>
      <c r="B70" s="8" t="s">
        <v>282</v>
      </c>
      <c r="C70" s="8" t="s">
        <v>283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284</v>
      </c>
      <c r="L70" s="8" t="s">
        <v>285</v>
      </c>
      <c r="M70" s="10" t="s">
        <v>46</v>
      </c>
      <c r="N70" s="10" t="s">
        <v>286</v>
      </c>
    </row>
    <row r="71" customFormat="false" ht="34.5" hidden="false" customHeight="true" outlineLevel="0" collapsed="false">
      <c r="A71" s="8" t="s">
        <v>287</v>
      </c>
      <c r="B71" s="8" t="s">
        <v>282</v>
      </c>
      <c r="C71" s="8" t="s">
        <v>288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289</v>
      </c>
      <c r="L71" s="8" t="s">
        <v>285</v>
      </c>
      <c r="M71" s="10" t="s">
        <v>46</v>
      </c>
      <c r="N71" s="10" t="s">
        <v>286</v>
      </c>
    </row>
    <row r="72" customFormat="false" ht="34.5" hidden="false" customHeight="true" outlineLevel="0" collapsed="false">
      <c r="A72" s="8" t="s">
        <v>290</v>
      </c>
      <c r="B72" s="8" t="s">
        <v>282</v>
      </c>
      <c r="C72" s="8" t="s">
        <v>291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292</v>
      </c>
      <c r="L72" s="8" t="s">
        <v>285</v>
      </c>
      <c r="M72" s="10" t="s">
        <v>46</v>
      </c>
      <c r="N72" s="10" t="s">
        <v>286</v>
      </c>
    </row>
    <row r="73" customFormat="false" ht="34.5" hidden="false" customHeight="true" outlineLevel="0" collapsed="false">
      <c r="A73" s="8" t="s">
        <v>293</v>
      </c>
      <c r="B73" s="8" t="s">
        <v>282</v>
      </c>
      <c r="C73" s="8" t="s">
        <v>294</v>
      </c>
      <c r="D73" s="8"/>
      <c r="E73" s="9" t="s">
        <v>295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296</v>
      </c>
      <c r="L73" s="8" t="s">
        <v>285</v>
      </c>
      <c r="M73" s="10" t="s">
        <v>46</v>
      </c>
      <c r="N73" s="10" t="s">
        <v>286</v>
      </c>
    </row>
    <row r="74" customFormat="false" ht="34.5" hidden="false" customHeight="true" outlineLevel="0" collapsed="false">
      <c r="A74" s="8" t="s">
        <v>297</v>
      </c>
      <c r="B74" s="8" t="s">
        <v>282</v>
      </c>
      <c r="C74" s="8" t="s">
        <v>298</v>
      </c>
      <c r="D74" s="8"/>
      <c r="E74" s="9" t="s">
        <v>299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300</v>
      </c>
      <c r="L74" s="8" t="s">
        <v>285</v>
      </c>
      <c r="M74" s="10" t="s">
        <v>46</v>
      </c>
      <c r="N74" s="10" t="s">
        <v>286</v>
      </c>
    </row>
    <row r="75" customFormat="false" ht="34.5" hidden="false" customHeight="true" outlineLevel="0" collapsed="false">
      <c r="A75" s="8" t="s">
        <v>301</v>
      </c>
      <c r="B75" s="8" t="s">
        <v>282</v>
      </c>
      <c r="C75" s="8" t="s">
        <v>302</v>
      </c>
      <c r="D75" s="8"/>
      <c r="E75" s="9" t="s">
        <v>303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304</v>
      </c>
      <c r="L75" s="8" t="s">
        <v>285</v>
      </c>
      <c r="M75" s="10" t="s">
        <v>46</v>
      </c>
      <c r="N75" s="10" t="s">
        <v>286</v>
      </c>
    </row>
    <row r="76" customFormat="false" ht="79.5" hidden="false" customHeight="true" outlineLevel="0" collapsed="false">
      <c r="A76" s="8" t="s">
        <v>305</v>
      </c>
      <c r="B76" s="8" t="s">
        <v>282</v>
      </c>
      <c r="C76" s="8" t="s">
        <v>306</v>
      </c>
      <c r="D76" s="8"/>
      <c r="E76" s="9" t="s">
        <v>307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308</v>
      </c>
      <c r="L76" s="8" t="s">
        <v>285</v>
      </c>
      <c r="M76" s="10" t="s">
        <v>46</v>
      </c>
      <c r="N76" s="10" t="s">
        <v>286</v>
      </c>
    </row>
    <row r="77" customFormat="false" ht="35.05" hidden="false" customHeight="false" outlineLevel="0" collapsed="false">
      <c r="A77" s="8" t="s">
        <v>309</v>
      </c>
      <c r="B77" s="8" t="s">
        <v>310</v>
      </c>
      <c r="C77" s="8" t="s">
        <v>311</v>
      </c>
      <c r="D77" s="13" t="n">
        <v>0.1</v>
      </c>
      <c r="E77" s="13" t="n">
        <v>0.2</v>
      </c>
      <c r="F77" s="13" t="n">
        <v>0.3</v>
      </c>
      <c r="G77" s="8" t="s">
        <v>95</v>
      </c>
      <c r="H77" s="8" t="s">
        <v>42</v>
      </c>
      <c r="I77" s="8"/>
      <c r="J77" s="8" t="s">
        <v>43</v>
      </c>
      <c r="K77" s="8" t="s">
        <v>312</v>
      </c>
      <c r="L77" s="8" t="s">
        <v>313</v>
      </c>
      <c r="M77" s="10" t="s">
        <v>46</v>
      </c>
      <c r="N77" s="10" t="s">
        <v>314</v>
      </c>
    </row>
    <row r="78" customFormat="false" ht="35.05" hidden="false" customHeight="false" outlineLevel="0" collapsed="false">
      <c r="A78" s="8" t="s">
        <v>315</v>
      </c>
      <c r="B78" s="8" t="s">
        <v>310</v>
      </c>
      <c r="C78" s="8" t="s">
        <v>316</v>
      </c>
      <c r="D78" s="13" t="n">
        <v>0.6</v>
      </c>
      <c r="E78" s="13" t="n">
        <v>0.7</v>
      </c>
      <c r="F78" s="13" t="n">
        <v>0.8</v>
      </c>
      <c r="G78" s="8" t="s">
        <v>95</v>
      </c>
      <c r="H78" s="8" t="s">
        <v>42</v>
      </c>
      <c r="I78" s="8"/>
      <c r="J78" s="8" t="s">
        <v>43</v>
      </c>
      <c r="K78" s="8" t="s">
        <v>317</v>
      </c>
      <c r="L78" s="8" t="s">
        <v>313</v>
      </c>
      <c r="M78" s="10" t="s">
        <v>46</v>
      </c>
      <c r="N78" s="10" t="s">
        <v>314</v>
      </c>
    </row>
    <row r="79" customFormat="false" ht="35.05" hidden="false" customHeight="false" outlineLevel="0" collapsed="false">
      <c r="A79" s="8" t="s">
        <v>318</v>
      </c>
      <c r="B79" s="8" t="s">
        <v>222</v>
      </c>
      <c r="C79" s="8" t="s">
        <v>319</v>
      </c>
      <c r="D79" s="13" t="n">
        <v>0.2</v>
      </c>
      <c r="E79" s="13" t="n">
        <v>0.3</v>
      </c>
      <c r="F79" s="13" t="n">
        <v>0.5</v>
      </c>
      <c r="G79" s="8" t="s">
        <v>95</v>
      </c>
      <c r="H79" s="8" t="s">
        <v>42</v>
      </c>
      <c r="I79" s="8"/>
      <c r="J79" s="8" t="s">
        <v>43</v>
      </c>
      <c r="K79" s="8" t="s">
        <v>320</v>
      </c>
      <c r="L79" s="8" t="s">
        <v>313</v>
      </c>
      <c r="M79" s="10" t="s">
        <v>46</v>
      </c>
      <c r="N79" s="10" t="s">
        <v>314</v>
      </c>
    </row>
    <row r="80" customFormat="false" ht="35.05" hidden="false" customHeight="false" outlineLevel="0" collapsed="false">
      <c r="A80" s="8" t="s">
        <v>321</v>
      </c>
      <c r="B80" s="8" t="s">
        <v>310</v>
      </c>
      <c r="C80" s="8" t="s">
        <v>322</v>
      </c>
      <c r="D80" s="13" t="n">
        <v>-0.05</v>
      </c>
      <c r="E80" s="13" t="n">
        <v>0</v>
      </c>
      <c r="F80" s="13" t="n">
        <v>0.05</v>
      </c>
      <c r="G80" s="8" t="s">
        <v>95</v>
      </c>
      <c r="H80" s="8" t="s">
        <v>42</v>
      </c>
      <c r="I80" s="8"/>
      <c r="J80" s="8" t="s">
        <v>43</v>
      </c>
      <c r="K80" s="8" t="s">
        <v>323</v>
      </c>
      <c r="L80" s="8" t="s">
        <v>313</v>
      </c>
      <c r="M80" s="10" t="s">
        <v>46</v>
      </c>
      <c r="N80" s="10" t="s">
        <v>314</v>
      </c>
    </row>
    <row r="81" customFormat="false" ht="35.05" hidden="false" customHeight="false" outlineLevel="0" collapsed="false">
      <c r="A81" s="8" t="s">
        <v>324</v>
      </c>
      <c r="B81" s="8" t="s">
        <v>310</v>
      </c>
      <c r="C81" s="8" t="s">
        <v>325</v>
      </c>
      <c r="D81" s="8"/>
      <c r="E81" s="13" t="n">
        <v>0.35</v>
      </c>
      <c r="F81" s="8"/>
      <c r="G81" s="8" t="s">
        <v>95</v>
      </c>
      <c r="H81" s="8" t="s">
        <v>42</v>
      </c>
      <c r="I81" s="8" t="s">
        <v>326</v>
      </c>
      <c r="J81" s="8" t="s">
        <v>114</v>
      </c>
      <c r="K81" s="8" t="s">
        <v>327</v>
      </c>
      <c r="L81" s="8" t="s">
        <v>313</v>
      </c>
      <c r="M81" s="10" t="s">
        <v>46</v>
      </c>
      <c r="N81" s="10" t="s">
        <v>314</v>
      </c>
    </row>
    <row r="82" customFormat="false" ht="35.05" hidden="false" customHeight="false" outlineLevel="0" collapsed="false">
      <c r="A82" s="8" t="s">
        <v>328</v>
      </c>
      <c r="B82" s="8" t="s">
        <v>310</v>
      </c>
      <c r="C82" s="8" t="s">
        <v>329</v>
      </c>
      <c r="D82" s="8"/>
      <c r="E82" s="13" t="n">
        <v>0.28</v>
      </c>
      <c r="F82" s="8"/>
      <c r="G82" s="8" t="s">
        <v>95</v>
      </c>
      <c r="H82" s="8" t="s">
        <v>42</v>
      </c>
      <c r="I82" s="8" t="s">
        <v>326</v>
      </c>
      <c r="J82" s="8" t="s">
        <v>114</v>
      </c>
      <c r="K82" s="8" t="s">
        <v>330</v>
      </c>
      <c r="L82" s="8" t="s">
        <v>313</v>
      </c>
      <c r="M82" s="10" t="s">
        <v>46</v>
      </c>
      <c r="N82" s="10" t="s">
        <v>314</v>
      </c>
    </row>
    <row r="83" customFormat="false" ht="35.05" hidden="false" customHeight="false" outlineLevel="0" collapsed="false">
      <c r="A83" s="8" t="s">
        <v>331</v>
      </c>
      <c r="B83" s="8" t="s">
        <v>310</v>
      </c>
      <c r="C83" s="8" t="s">
        <v>332</v>
      </c>
      <c r="D83" s="8"/>
      <c r="E83" s="13" t="n">
        <v>0.18</v>
      </c>
      <c r="F83" s="8"/>
      <c r="G83" s="8" t="s">
        <v>95</v>
      </c>
      <c r="H83" s="8" t="s">
        <v>42</v>
      </c>
      <c r="I83" s="8" t="s">
        <v>132</v>
      </c>
      <c r="J83" s="8" t="s">
        <v>114</v>
      </c>
      <c r="K83" s="8" t="s">
        <v>333</v>
      </c>
      <c r="L83" s="8" t="s">
        <v>313</v>
      </c>
      <c r="M83" s="10" t="s">
        <v>46</v>
      </c>
      <c r="N83" s="10" t="s">
        <v>314</v>
      </c>
    </row>
    <row r="84" customFormat="false" ht="35.05" hidden="false" customHeight="false" outlineLevel="0" collapsed="false">
      <c r="A84" s="8" t="s">
        <v>334</v>
      </c>
      <c r="B84" s="8" t="s">
        <v>310</v>
      </c>
      <c r="C84" s="8" t="s">
        <v>335</v>
      </c>
      <c r="D84" s="8"/>
      <c r="E84" s="13" t="n">
        <v>0.12</v>
      </c>
      <c r="F84" s="8"/>
      <c r="G84" s="8" t="s">
        <v>95</v>
      </c>
      <c r="H84" s="8" t="s">
        <v>42</v>
      </c>
      <c r="I84" s="8"/>
      <c r="J84" s="8" t="s">
        <v>43</v>
      </c>
      <c r="K84" s="8" t="s">
        <v>330</v>
      </c>
      <c r="L84" s="8" t="s">
        <v>313</v>
      </c>
      <c r="M84" s="10" t="s">
        <v>46</v>
      </c>
      <c r="N84" s="10" t="s">
        <v>314</v>
      </c>
    </row>
    <row r="85" customFormat="false" ht="35.05" hidden="false" customHeight="false" outlineLevel="0" collapsed="false">
      <c r="A85" s="8" t="s">
        <v>336</v>
      </c>
      <c r="B85" s="8" t="s">
        <v>310</v>
      </c>
      <c r="C85" s="8" t="s">
        <v>337</v>
      </c>
      <c r="D85" s="8"/>
      <c r="E85" s="13" t="n">
        <v>0.07</v>
      </c>
      <c r="F85" s="8"/>
      <c r="G85" s="8" t="s">
        <v>95</v>
      </c>
      <c r="H85" s="8" t="s">
        <v>42</v>
      </c>
      <c r="I85" s="8"/>
      <c r="J85" s="8" t="s">
        <v>43</v>
      </c>
      <c r="K85" s="8" t="s">
        <v>330</v>
      </c>
      <c r="L85" s="8" t="s">
        <v>313</v>
      </c>
      <c r="M85" s="10" t="s">
        <v>46</v>
      </c>
      <c r="N85" s="10" t="s">
        <v>314</v>
      </c>
    </row>
    <row r="86" customFormat="false" ht="35.05" hidden="false" customHeight="false" outlineLevel="0" collapsed="false">
      <c r="A86" s="8" t="s">
        <v>338</v>
      </c>
      <c r="B86" s="8" t="s">
        <v>310</v>
      </c>
      <c r="C86" s="8" t="s">
        <v>339</v>
      </c>
      <c r="D86" s="12" t="n">
        <v>1500</v>
      </c>
      <c r="E86" s="12" t="n">
        <v>2500</v>
      </c>
      <c r="F86" s="12" t="n">
        <v>4000</v>
      </c>
      <c r="G86" s="8" t="s">
        <v>142</v>
      </c>
      <c r="H86" s="8" t="s">
        <v>42</v>
      </c>
      <c r="I86" s="8"/>
      <c r="J86" s="8" t="s">
        <v>43</v>
      </c>
      <c r="K86" s="8" t="s">
        <v>340</v>
      </c>
      <c r="L86" s="8" t="s">
        <v>313</v>
      </c>
      <c r="M86" s="10" t="s">
        <v>46</v>
      </c>
      <c r="N86" s="10" t="s">
        <v>314</v>
      </c>
    </row>
    <row r="87" customFormat="false" ht="35.05" hidden="false" customHeight="false" outlineLevel="0" collapsed="false">
      <c r="A87" s="8" t="s">
        <v>341</v>
      </c>
      <c r="B87" s="8" t="s">
        <v>310</v>
      </c>
      <c r="C87" s="8" t="s">
        <v>342</v>
      </c>
      <c r="D87" s="12" t="n">
        <v>2500</v>
      </c>
      <c r="E87" s="12" t="n">
        <v>3500</v>
      </c>
      <c r="F87" s="12" t="n">
        <v>6000</v>
      </c>
      <c r="G87" s="8" t="s">
        <v>142</v>
      </c>
      <c r="H87" s="8" t="s">
        <v>42</v>
      </c>
      <c r="I87" s="8"/>
      <c r="J87" s="8" t="s">
        <v>43</v>
      </c>
      <c r="K87" s="8" t="s">
        <v>343</v>
      </c>
      <c r="L87" s="8" t="s">
        <v>313</v>
      </c>
      <c r="M87" s="10" t="s">
        <v>46</v>
      </c>
      <c r="N87" s="10" t="s">
        <v>314</v>
      </c>
    </row>
    <row r="88" customFormat="false" ht="35.05" hidden="false" customHeight="false" outlineLevel="0" collapsed="false">
      <c r="A88" s="8" t="s">
        <v>344</v>
      </c>
      <c r="B88" s="8" t="s">
        <v>310</v>
      </c>
      <c r="C88" s="8" t="s">
        <v>345</v>
      </c>
      <c r="D88" s="8"/>
      <c r="E88" s="9" t="s">
        <v>346</v>
      </c>
      <c r="F88" s="8"/>
      <c r="G88" s="8" t="s">
        <v>41</v>
      </c>
      <c r="H88" s="8" t="s">
        <v>42</v>
      </c>
      <c r="I88" s="8" t="s">
        <v>132</v>
      </c>
      <c r="J88" s="8" t="s">
        <v>114</v>
      </c>
      <c r="K88" s="8" t="s">
        <v>347</v>
      </c>
      <c r="L88" s="8" t="s">
        <v>313</v>
      </c>
      <c r="M88" s="10" t="s">
        <v>46</v>
      </c>
      <c r="N88" s="10" t="s">
        <v>314</v>
      </c>
    </row>
    <row r="89" customFormat="false" ht="35.05" hidden="false" customHeight="false" outlineLevel="0" collapsed="false">
      <c r="A89" s="8" t="s">
        <v>348</v>
      </c>
      <c r="B89" s="8" t="s">
        <v>310</v>
      </c>
      <c r="C89" s="8" t="s">
        <v>349</v>
      </c>
      <c r="D89" s="8"/>
      <c r="E89" s="9" t="s">
        <v>350</v>
      </c>
      <c r="F89" s="8"/>
      <c r="G89" s="8" t="s">
        <v>41</v>
      </c>
      <c r="H89" s="8" t="s">
        <v>42</v>
      </c>
      <c r="I89" s="8"/>
      <c r="J89" s="8" t="s">
        <v>43</v>
      </c>
      <c r="K89" s="8" t="s">
        <v>351</v>
      </c>
      <c r="L89" s="8" t="s">
        <v>313</v>
      </c>
      <c r="M89" s="10" t="s">
        <v>46</v>
      </c>
      <c r="N89" s="10" t="s">
        <v>314</v>
      </c>
    </row>
    <row r="90" customFormat="false" ht="68.65" hidden="false" customHeight="false" outlineLevel="0" collapsed="false">
      <c r="A90" s="8" t="s">
        <v>352</v>
      </c>
      <c r="B90" s="8" t="s">
        <v>310</v>
      </c>
      <c r="C90" s="8" t="s">
        <v>353</v>
      </c>
      <c r="D90" s="8"/>
      <c r="E90" s="9" t="s">
        <v>354</v>
      </c>
      <c r="F90" s="8"/>
      <c r="G90" s="8" t="s">
        <v>41</v>
      </c>
      <c r="H90" s="8" t="s">
        <v>42</v>
      </c>
      <c r="I90" s="8"/>
      <c r="J90" s="8" t="s">
        <v>43</v>
      </c>
      <c r="K90" s="8" t="s">
        <v>355</v>
      </c>
      <c r="L90" s="8" t="s">
        <v>313</v>
      </c>
      <c r="M90" s="10" t="s">
        <v>46</v>
      </c>
      <c r="N90" s="10" t="s">
        <v>314</v>
      </c>
    </row>
    <row r="91" customFormat="false" ht="35.05" hidden="false" customHeight="false" outlineLevel="0" collapsed="false">
      <c r="A91" s="8" t="s">
        <v>356</v>
      </c>
      <c r="B91" s="8" t="s">
        <v>310</v>
      </c>
      <c r="C91" s="8" t="s">
        <v>357</v>
      </c>
      <c r="D91" s="8"/>
      <c r="E91" s="9" t="s">
        <v>358</v>
      </c>
      <c r="F91" s="8"/>
      <c r="G91" s="8" t="s">
        <v>41</v>
      </c>
      <c r="H91" s="8" t="s">
        <v>42</v>
      </c>
      <c r="I91" s="8"/>
      <c r="J91" s="8" t="s">
        <v>43</v>
      </c>
      <c r="K91" s="8" t="s">
        <v>359</v>
      </c>
      <c r="L91" s="8" t="s">
        <v>313</v>
      </c>
      <c r="M91" s="10" t="s">
        <v>46</v>
      </c>
      <c r="N91" s="10" t="s">
        <v>314</v>
      </c>
    </row>
    <row r="92" customFormat="false" ht="57.45" hidden="false" customHeight="false" outlineLevel="0" collapsed="false">
      <c r="A92" s="8" t="s">
        <v>360</v>
      </c>
      <c r="B92" s="8" t="s">
        <v>310</v>
      </c>
      <c r="C92" s="8" t="s">
        <v>361</v>
      </c>
      <c r="D92" s="8"/>
      <c r="E92" s="9" t="s">
        <v>362</v>
      </c>
      <c r="F92" s="8"/>
      <c r="G92" s="8" t="s">
        <v>41</v>
      </c>
      <c r="H92" s="8" t="s">
        <v>42</v>
      </c>
      <c r="I92" s="8"/>
      <c r="J92" s="8" t="s">
        <v>43</v>
      </c>
      <c r="K92" s="8" t="s">
        <v>363</v>
      </c>
      <c r="L92" s="8" t="s">
        <v>313</v>
      </c>
      <c r="M92" s="10" t="s">
        <v>46</v>
      </c>
      <c r="N92" s="10" t="s">
        <v>314</v>
      </c>
    </row>
    <row r="93" customFormat="false" ht="68.65" hidden="false" customHeight="false" outlineLevel="0" collapsed="false">
      <c r="A93" s="8" t="s">
        <v>364</v>
      </c>
      <c r="B93" s="8" t="s">
        <v>310</v>
      </c>
      <c r="C93" s="8" t="s">
        <v>365</v>
      </c>
      <c r="D93" s="8"/>
      <c r="E93" s="9" t="s">
        <v>366</v>
      </c>
      <c r="F93" s="8"/>
      <c r="G93" s="8" t="s">
        <v>41</v>
      </c>
      <c r="H93" s="8" t="s">
        <v>42</v>
      </c>
      <c r="I93" s="8" t="s">
        <v>109</v>
      </c>
      <c r="J93" s="8" t="s">
        <v>114</v>
      </c>
      <c r="K93" s="8" t="s">
        <v>367</v>
      </c>
      <c r="L93" s="8" t="s">
        <v>313</v>
      </c>
      <c r="M93" s="10" t="s">
        <v>46</v>
      </c>
      <c r="N93" s="10" t="s">
        <v>314</v>
      </c>
    </row>
  </sheetData>
  <dataValidations count="4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  <dataValidation allowBlank="true" errorStyle="stop" operator="between" showDropDown="false" showErrorMessage="false" showInputMessage="false" sqref="M77:M93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4" min="3" style="1" width="14"/>
    <col collapsed="false" customWidth="true" hidden="false" outlineLevel="0" max="6" min="5" style="1" width="16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368</v>
      </c>
    </row>
    <row r="2" customFormat="false" ht="15" hidden="false" customHeight="true" outlineLevel="0" collapsed="false">
      <c r="A2" s="6" t="s">
        <v>369</v>
      </c>
    </row>
    <row r="4" customFormat="false" ht="15" hidden="false" customHeight="true" outlineLevel="0" collapsed="false">
      <c r="A4" s="7" t="s">
        <v>370</v>
      </c>
      <c r="B4" s="7" t="s">
        <v>371</v>
      </c>
      <c r="C4" s="7" t="s">
        <v>372</v>
      </c>
      <c r="D4" s="7" t="s">
        <v>373</v>
      </c>
      <c r="E4" s="7" t="s">
        <v>30</v>
      </c>
      <c r="F4" s="7" t="s">
        <v>35</v>
      </c>
      <c r="G4" s="7" t="s">
        <v>36</v>
      </c>
    </row>
    <row r="5" customFormat="false" ht="23.25" hidden="false" customHeight="true" outlineLevel="0" collapsed="false">
      <c r="A5" s="8" t="s">
        <v>374</v>
      </c>
      <c r="B5" s="8" t="s">
        <v>375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376</v>
      </c>
    </row>
    <row r="6" customFormat="false" ht="23.25" hidden="false" customHeight="true" outlineLevel="0" collapsed="false">
      <c r="A6" s="8" t="s">
        <v>374</v>
      </c>
      <c r="B6" s="8" t="s">
        <v>377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376</v>
      </c>
    </row>
    <row r="7" customFormat="false" ht="23.25" hidden="false" customHeight="true" outlineLevel="0" collapsed="false">
      <c r="A7" s="8" t="s">
        <v>374</v>
      </c>
      <c r="B7" s="8" t="s">
        <v>378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376</v>
      </c>
    </row>
    <row r="8" customFormat="false" ht="23.25" hidden="false" customHeight="true" outlineLevel="0" collapsed="false">
      <c r="A8" s="8" t="s">
        <v>374</v>
      </c>
      <c r="B8" s="8" t="s">
        <v>379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376</v>
      </c>
    </row>
    <row r="9" customFormat="false" ht="23.25" hidden="false" customHeight="true" outlineLevel="0" collapsed="false">
      <c r="A9" s="8" t="s">
        <v>374</v>
      </c>
      <c r="B9" s="8" t="s">
        <v>380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376</v>
      </c>
    </row>
    <row r="10" customFormat="false" ht="23.25" hidden="false" customHeight="true" outlineLevel="0" collapsed="false">
      <c r="A10" s="8" t="s">
        <v>374</v>
      </c>
      <c r="B10" s="8" t="s">
        <v>381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376</v>
      </c>
    </row>
    <row r="11" customFormat="false" ht="23.25" hidden="false" customHeight="true" outlineLevel="0" collapsed="false">
      <c r="A11" s="8" t="s">
        <v>374</v>
      </c>
      <c r="B11" s="8" t="s">
        <v>382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376</v>
      </c>
    </row>
    <row r="12" customFormat="false" ht="23.25" hidden="false" customHeight="true" outlineLevel="0" collapsed="false">
      <c r="A12" s="8" t="s">
        <v>374</v>
      </c>
      <c r="B12" s="8" t="s">
        <v>383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376</v>
      </c>
    </row>
    <row r="13" customFormat="false" ht="23.25" hidden="false" customHeight="true" outlineLevel="0" collapsed="false">
      <c r="A13" s="8" t="s">
        <v>384</v>
      </c>
      <c r="B13" s="8" t="s">
        <v>385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376</v>
      </c>
    </row>
    <row r="14" customFormat="false" ht="23.25" hidden="false" customHeight="true" outlineLevel="0" collapsed="false">
      <c r="A14" s="8" t="s">
        <v>384</v>
      </c>
      <c r="B14" s="8" t="s">
        <v>386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376</v>
      </c>
    </row>
    <row r="15" customFormat="false" ht="23.25" hidden="false" customHeight="true" outlineLevel="0" collapsed="false">
      <c r="A15" s="8" t="s">
        <v>384</v>
      </c>
      <c r="B15" s="8" t="s">
        <v>387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376</v>
      </c>
    </row>
    <row r="16" customFormat="false" ht="23.25" hidden="false" customHeight="true" outlineLevel="0" collapsed="false">
      <c r="A16" s="8" t="s">
        <v>384</v>
      </c>
      <c r="B16" s="8" t="s">
        <v>388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376</v>
      </c>
    </row>
    <row r="17" customFormat="false" ht="23.25" hidden="false" customHeight="true" outlineLevel="0" collapsed="false">
      <c r="A17" s="8" t="s">
        <v>384</v>
      </c>
      <c r="B17" s="8" t="s">
        <v>389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376</v>
      </c>
    </row>
    <row r="18" customFormat="false" ht="23.25" hidden="false" customHeight="true" outlineLevel="0" collapsed="false">
      <c r="A18" s="8" t="s">
        <v>384</v>
      </c>
      <c r="B18" s="8" t="s">
        <v>390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376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391</v>
      </c>
    </row>
    <row r="2" customFormat="false" ht="15" hidden="false" customHeight="true" outlineLevel="0" collapsed="false">
      <c r="A2" s="6" t="s">
        <v>392</v>
      </c>
    </row>
    <row r="4" customFormat="false" ht="23.25" hidden="false" customHeight="true" outlineLevel="0" collapsed="false">
      <c r="A4" s="7" t="s">
        <v>23</v>
      </c>
      <c r="B4" s="7" t="s">
        <v>393</v>
      </c>
      <c r="C4" s="7" t="s">
        <v>394</v>
      </c>
      <c r="D4" s="7" t="s">
        <v>395</v>
      </c>
      <c r="E4" s="7" t="s">
        <v>396</v>
      </c>
      <c r="F4" s="7" t="s">
        <v>397</v>
      </c>
      <c r="G4" s="7" t="s">
        <v>398</v>
      </c>
      <c r="H4" s="7" t="s">
        <v>34</v>
      </c>
    </row>
    <row r="5" customFormat="false" ht="15" hidden="false" customHeight="true" outlineLevel="0" collapsed="false">
      <c r="A5" s="8" t="s">
        <v>399</v>
      </c>
      <c r="B5" s="8" t="s">
        <v>400</v>
      </c>
      <c r="C5" s="8" t="s">
        <v>401</v>
      </c>
      <c r="D5" s="15" t="n">
        <f aca="false">Parameters!E51</f>
        <v>12</v>
      </c>
      <c r="E5" s="8" t="s">
        <v>221</v>
      </c>
      <c r="F5" s="8" t="s">
        <v>402</v>
      </c>
      <c r="G5" s="8" t="s">
        <v>403</v>
      </c>
      <c r="H5" s="8" t="s">
        <v>45</v>
      </c>
    </row>
    <row r="6" customFormat="false" ht="15" hidden="false" customHeight="true" outlineLevel="0" collapsed="false">
      <c r="A6" s="8" t="s">
        <v>404</v>
      </c>
      <c r="B6" s="8" t="s">
        <v>405</v>
      </c>
      <c r="C6" s="8" t="s">
        <v>406</v>
      </c>
      <c r="D6" s="15" t="n">
        <f aca="false">Parameters!E52</f>
        <v>6</v>
      </c>
      <c r="E6" s="8" t="s">
        <v>225</v>
      </c>
      <c r="F6" s="8" t="s">
        <v>407</v>
      </c>
      <c r="G6" s="8" t="s">
        <v>403</v>
      </c>
      <c r="H6" s="8" t="s">
        <v>45</v>
      </c>
    </row>
    <row r="7" customFormat="false" ht="15" hidden="false" customHeight="true" outlineLevel="0" collapsed="false">
      <c r="A7" s="8" t="s">
        <v>408</v>
      </c>
      <c r="B7" s="8" t="s">
        <v>409</v>
      </c>
      <c r="C7" s="8" t="s">
        <v>410</v>
      </c>
      <c r="D7" s="15" t="n">
        <f aca="false">Parameters!E53</f>
        <v>6</v>
      </c>
      <c r="E7" s="8" t="s">
        <v>228</v>
      </c>
      <c r="F7" s="8" t="s">
        <v>411</v>
      </c>
      <c r="G7" s="8" t="s">
        <v>412</v>
      </c>
      <c r="H7" s="8" t="s">
        <v>45</v>
      </c>
    </row>
    <row r="8" customFormat="false" ht="15" hidden="false" customHeight="true" outlineLevel="0" collapsed="false">
      <c r="A8" s="8" t="s">
        <v>413</v>
      </c>
      <c r="B8" s="8" t="s">
        <v>414</v>
      </c>
      <c r="C8" s="8" t="s">
        <v>401</v>
      </c>
      <c r="D8" s="15" t="n">
        <f aca="false">Parameters!E54</f>
        <v>8</v>
      </c>
      <c r="E8" s="8" t="s">
        <v>231</v>
      </c>
      <c r="F8" s="8" t="s">
        <v>415</v>
      </c>
      <c r="G8" s="8" t="s">
        <v>403</v>
      </c>
      <c r="H8" s="8" t="s">
        <v>45</v>
      </c>
    </row>
    <row r="9" customFormat="false" ht="15" hidden="false" customHeight="true" outlineLevel="0" collapsed="false">
      <c r="A9" s="8" t="s">
        <v>416</v>
      </c>
      <c r="B9" s="8" t="s">
        <v>417</v>
      </c>
      <c r="C9" s="8" t="s">
        <v>406</v>
      </c>
      <c r="D9" s="15" t="n">
        <f aca="false">Parameters!E55</f>
        <v>5</v>
      </c>
      <c r="E9" s="8" t="s">
        <v>234</v>
      </c>
      <c r="F9" s="8" t="s">
        <v>418</v>
      </c>
      <c r="G9" s="8" t="s">
        <v>403</v>
      </c>
      <c r="H9" s="8" t="s">
        <v>45</v>
      </c>
    </row>
    <row r="10" customFormat="false" ht="15" hidden="false" customHeight="true" outlineLevel="0" collapsed="false">
      <c r="A10" s="8" t="s">
        <v>419</v>
      </c>
      <c r="B10" s="8" t="s">
        <v>420</v>
      </c>
      <c r="C10" s="8" t="s">
        <v>421</v>
      </c>
      <c r="D10" s="16" t="n">
        <f aca="false">Parameters!E26</f>
        <v>0.25</v>
      </c>
      <c r="E10" s="8" t="s">
        <v>130</v>
      </c>
      <c r="F10" s="8" t="s">
        <v>422</v>
      </c>
      <c r="G10" s="8" t="s">
        <v>423</v>
      </c>
      <c r="H10" s="8" t="s">
        <v>45</v>
      </c>
    </row>
    <row r="11" customFormat="false" ht="15" hidden="false" customHeight="true" outlineLevel="0" collapsed="false">
      <c r="A11" s="8" t="s">
        <v>424</v>
      </c>
      <c r="B11" s="8" t="s">
        <v>425</v>
      </c>
      <c r="C11" s="8" t="s">
        <v>426</v>
      </c>
      <c r="D11" s="16" t="n">
        <f aca="false">Parameters!E28</f>
        <v>-0.05</v>
      </c>
      <c r="E11" s="8" t="s">
        <v>137</v>
      </c>
      <c r="F11" s="8" t="s">
        <v>427</v>
      </c>
      <c r="G11" s="8" t="s">
        <v>423</v>
      </c>
      <c r="H11" s="8" t="s">
        <v>45</v>
      </c>
    </row>
    <row r="12" customFormat="false" ht="15" hidden="false" customHeight="true" outlineLevel="0" collapsed="false">
      <c r="A12" s="8" t="s">
        <v>428</v>
      </c>
      <c r="B12" s="8" t="s">
        <v>429</v>
      </c>
      <c r="C12" s="8" t="s">
        <v>430</v>
      </c>
      <c r="D12" s="15" t="n">
        <f aca="false">Parameters!E45</f>
        <v>4</v>
      </c>
      <c r="E12" s="8" t="s">
        <v>197</v>
      </c>
      <c r="F12" s="8" t="s">
        <v>431</v>
      </c>
      <c r="G12" s="8" t="s">
        <v>423</v>
      </c>
      <c r="H12" s="8" t="s">
        <v>45</v>
      </c>
    </row>
    <row r="13" customFormat="false" ht="15" hidden="false" customHeight="true" outlineLevel="0" collapsed="false">
      <c r="A13" s="8" t="s">
        <v>432</v>
      </c>
      <c r="B13" s="8" t="s">
        <v>433</v>
      </c>
      <c r="C13" s="8" t="s">
        <v>434</v>
      </c>
      <c r="D13" s="15" t="n">
        <f aca="false">Parameters!E38</f>
        <v>15</v>
      </c>
      <c r="E13" s="8" t="s">
        <v>171</v>
      </c>
      <c r="F13" s="8" t="s">
        <v>435</v>
      </c>
      <c r="G13" s="8" t="s">
        <v>423</v>
      </c>
      <c r="H13" s="8" t="s">
        <v>45</v>
      </c>
    </row>
    <row r="14" customFormat="false" ht="15" hidden="false" customHeight="true" outlineLevel="0" collapsed="false">
      <c r="A14" s="8" t="s">
        <v>436</v>
      </c>
      <c r="B14" s="8" t="s">
        <v>158</v>
      </c>
      <c r="C14" s="8" t="s">
        <v>437</v>
      </c>
      <c r="D14" s="16" t="n">
        <f aca="false">Parameters!E34</f>
        <v>0.07</v>
      </c>
      <c r="E14" s="8" t="s">
        <v>156</v>
      </c>
      <c r="F14" s="8" t="s">
        <v>438</v>
      </c>
      <c r="G14" s="8" t="s">
        <v>423</v>
      </c>
      <c r="H14" s="8" t="s">
        <v>45</v>
      </c>
    </row>
    <row r="15" customFormat="false" ht="15" hidden="false" customHeight="true" outlineLevel="0" collapsed="false">
      <c r="A15" s="8" t="s">
        <v>439</v>
      </c>
      <c r="B15" s="8" t="s">
        <v>440</v>
      </c>
      <c r="C15" s="8" t="s">
        <v>441</v>
      </c>
      <c r="D15" s="15" t="n">
        <f aca="false">Parameters!E50</f>
        <v>10</v>
      </c>
      <c r="E15" s="8" t="s">
        <v>217</v>
      </c>
      <c r="F15" s="8" t="s">
        <v>442</v>
      </c>
      <c r="G15" s="8" t="s">
        <v>423</v>
      </c>
      <c r="H15" s="8" t="s">
        <v>45</v>
      </c>
    </row>
    <row r="16" customFormat="false" ht="15" hidden="false" customHeight="true" outlineLevel="0" collapsed="false">
      <c r="A16" s="8" t="s">
        <v>443</v>
      </c>
      <c r="B16" s="8" t="s">
        <v>444</v>
      </c>
      <c r="C16" s="8" t="s">
        <v>445</v>
      </c>
      <c r="D16" s="17" t="n">
        <f aca="false">Parameters!E22</f>
        <v>15</v>
      </c>
      <c r="E16" s="8" t="s">
        <v>111</v>
      </c>
      <c r="F16" s="8" t="s">
        <v>446</v>
      </c>
      <c r="G16" s="8" t="s">
        <v>423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447</v>
      </c>
    </row>
    <row r="3" customFormat="false" ht="15" hidden="false" customHeight="true" outlineLevel="0" collapsed="false">
      <c r="A3" s="7" t="s">
        <v>23</v>
      </c>
      <c r="B3" s="7" t="s">
        <v>448</v>
      </c>
      <c r="C3" s="7" t="s">
        <v>449</v>
      </c>
      <c r="D3" s="7" t="s">
        <v>450</v>
      </c>
      <c r="E3" s="7" t="s">
        <v>451</v>
      </c>
      <c r="F3" s="7" t="s">
        <v>452</v>
      </c>
      <c r="G3" s="7" t="s">
        <v>453</v>
      </c>
    </row>
    <row r="4" customFormat="false" ht="23.25" hidden="false" customHeight="true" outlineLevel="0" collapsed="false">
      <c r="A4" s="8" t="s">
        <v>132</v>
      </c>
      <c r="B4" s="8" t="s">
        <v>454</v>
      </c>
      <c r="C4" s="8" t="s">
        <v>455</v>
      </c>
      <c r="D4" s="8" t="s">
        <v>456</v>
      </c>
      <c r="E4" s="8" t="s">
        <v>114</v>
      </c>
      <c r="F4" s="8" t="s">
        <v>457</v>
      </c>
      <c r="G4" s="8" t="s">
        <v>458</v>
      </c>
    </row>
    <row r="5" customFormat="false" ht="15" hidden="false" customHeight="true" outlineLevel="0" collapsed="false">
      <c r="A5" s="8" t="s">
        <v>459</v>
      </c>
      <c r="B5" s="8" t="s">
        <v>460</v>
      </c>
      <c r="C5" s="8" t="s">
        <v>461</v>
      </c>
      <c r="D5" s="8" t="s">
        <v>462</v>
      </c>
      <c r="E5" s="8" t="s">
        <v>114</v>
      </c>
      <c r="F5" s="8" t="s">
        <v>463</v>
      </c>
      <c r="G5" s="8" t="s">
        <v>464</v>
      </c>
    </row>
    <row r="6" customFormat="false" ht="23.25" hidden="false" customHeight="true" outlineLevel="0" collapsed="false">
      <c r="A6" s="8" t="s">
        <v>128</v>
      </c>
      <c r="B6" s="8" t="s">
        <v>465</v>
      </c>
      <c r="C6" s="8" t="s">
        <v>466</v>
      </c>
      <c r="D6" s="8" t="s">
        <v>467</v>
      </c>
      <c r="E6" s="8" t="s">
        <v>114</v>
      </c>
      <c r="F6" s="8" t="s">
        <v>468</v>
      </c>
      <c r="G6" s="8" t="s">
        <v>469</v>
      </c>
    </row>
    <row r="7" customFormat="false" ht="15" hidden="false" customHeight="true" outlineLevel="0" collapsed="false">
      <c r="A7" s="8" t="s">
        <v>326</v>
      </c>
      <c r="B7" s="8" t="s">
        <v>470</v>
      </c>
      <c r="C7" s="8" t="s">
        <v>471</v>
      </c>
      <c r="D7" s="8" t="s">
        <v>472</v>
      </c>
      <c r="E7" s="8" t="s">
        <v>114</v>
      </c>
      <c r="F7" s="8" t="s">
        <v>473</v>
      </c>
      <c r="G7" s="8" t="s">
        <v>474</v>
      </c>
    </row>
    <row r="8" customFormat="false" ht="23.25" hidden="false" customHeight="true" outlineLevel="0" collapsed="false">
      <c r="A8" s="8" t="s">
        <v>101</v>
      </c>
      <c r="B8" s="8" t="s">
        <v>475</v>
      </c>
      <c r="C8" s="8" t="s">
        <v>476</v>
      </c>
      <c r="D8" s="8" t="s">
        <v>477</v>
      </c>
      <c r="E8" s="8" t="s">
        <v>114</v>
      </c>
      <c r="F8" s="8" t="s">
        <v>478</v>
      </c>
      <c r="G8" s="8" t="s">
        <v>479</v>
      </c>
    </row>
    <row r="9" customFormat="false" ht="23.25" hidden="false" customHeight="true" outlineLevel="0" collapsed="false">
      <c r="A9" s="8" t="s">
        <v>109</v>
      </c>
      <c r="B9" s="8" t="s">
        <v>480</v>
      </c>
      <c r="C9" s="8" t="s">
        <v>481</v>
      </c>
      <c r="D9" s="8" t="s">
        <v>462</v>
      </c>
      <c r="E9" s="8" t="s">
        <v>114</v>
      </c>
      <c r="F9" s="8" t="s">
        <v>482</v>
      </c>
      <c r="G9" s="8" t="s">
        <v>483</v>
      </c>
    </row>
    <row r="10" customFormat="false" ht="15" hidden="false" customHeight="true" outlineLevel="0" collapsed="false">
      <c r="A10" s="8" t="s">
        <v>151</v>
      </c>
      <c r="B10" s="8" t="s">
        <v>484</v>
      </c>
      <c r="C10" s="8" t="s">
        <v>485</v>
      </c>
      <c r="D10" s="8" t="s">
        <v>486</v>
      </c>
      <c r="E10" s="8" t="s">
        <v>114</v>
      </c>
      <c r="F10" s="8" t="s">
        <v>487</v>
      </c>
      <c r="G10" s="8" t="s">
        <v>488</v>
      </c>
    </row>
    <row r="11" customFormat="false" ht="15" hidden="false" customHeight="true" outlineLevel="0" collapsed="false">
      <c r="A11" s="8" t="s">
        <v>155</v>
      </c>
      <c r="B11" s="8" t="s">
        <v>489</v>
      </c>
      <c r="C11" s="8" t="s">
        <v>490</v>
      </c>
      <c r="D11" s="8" t="s">
        <v>491</v>
      </c>
      <c r="E11" s="8" t="s">
        <v>114</v>
      </c>
      <c r="F11" s="8" t="s">
        <v>492</v>
      </c>
      <c r="G11" s="8" t="s">
        <v>493</v>
      </c>
    </row>
    <row r="12" customFormat="false" ht="23.25" hidden="false" customHeight="true" outlineLevel="0" collapsed="false">
      <c r="A12" s="8" t="s">
        <v>161</v>
      </c>
      <c r="B12" s="8" t="s">
        <v>494</v>
      </c>
      <c r="C12" s="8" t="s">
        <v>495</v>
      </c>
      <c r="D12" s="8" t="s">
        <v>456</v>
      </c>
      <c r="E12" s="8" t="s">
        <v>114</v>
      </c>
      <c r="F12" s="8" t="s">
        <v>496</v>
      </c>
      <c r="G12" s="8" t="s">
        <v>497</v>
      </c>
    </row>
    <row r="13" customFormat="false" ht="23.25" hidden="false" customHeight="true" outlineLevel="0" collapsed="false">
      <c r="A13" s="8" t="s">
        <v>177</v>
      </c>
      <c r="B13" s="8" t="s">
        <v>498</v>
      </c>
      <c r="C13" s="8" t="s">
        <v>499</v>
      </c>
      <c r="D13" s="8" t="s">
        <v>500</v>
      </c>
      <c r="E13" s="8" t="s">
        <v>97</v>
      </c>
      <c r="F13" s="8" t="s">
        <v>501</v>
      </c>
      <c r="G13" s="8" t="s">
        <v>502</v>
      </c>
    </row>
    <row r="14" customFormat="false" ht="15" hidden="false" customHeight="true" outlineLevel="0" collapsed="false">
      <c r="A14" s="8" t="s">
        <v>185</v>
      </c>
      <c r="B14" s="8" t="s">
        <v>503</v>
      </c>
      <c r="C14" s="8" t="s">
        <v>504</v>
      </c>
      <c r="D14" s="8" t="s">
        <v>505</v>
      </c>
      <c r="E14" s="8" t="s">
        <v>114</v>
      </c>
      <c r="F14" s="8" t="s">
        <v>506</v>
      </c>
      <c r="G14" s="8" t="s">
        <v>507</v>
      </c>
    </row>
    <row r="15" customFormat="false" ht="23.25" hidden="false" customHeight="true" outlineLevel="0" collapsed="false">
      <c r="A15" s="8" t="s">
        <v>181</v>
      </c>
      <c r="B15" s="8" t="s">
        <v>508</v>
      </c>
      <c r="C15" s="8" t="s">
        <v>509</v>
      </c>
      <c r="D15" s="8" t="s">
        <v>510</v>
      </c>
      <c r="E15" s="8" t="s">
        <v>97</v>
      </c>
      <c r="F15" s="8" t="s">
        <v>511</v>
      </c>
      <c r="G15" s="8" t="s">
        <v>512</v>
      </c>
    </row>
    <row r="16" customFormat="false" ht="23.25" hidden="false" customHeight="true" outlineLevel="0" collapsed="false">
      <c r="A16" s="8" t="s">
        <v>513</v>
      </c>
      <c r="B16" s="8" t="s">
        <v>514</v>
      </c>
      <c r="C16" s="8" t="s">
        <v>515</v>
      </c>
      <c r="D16" s="8" t="s">
        <v>516</v>
      </c>
      <c r="E16" s="8" t="s">
        <v>114</v>
      </c>
      <c r="F16" s="8" t="s">
        <v>517</v>
      </c>
      <c r="G16" s="8" t="s">
        <v>518</v>
      </c>
    </row>
    <row r="17" customFormat="false" ht="15" hidden="false" customHeight="true" outlineLevel="0" collapsed="false">
      <c r="A17" s="8" t="s">
        <v>212</v>
      </c>
      <c r="B17" s="8" t="s">
        <v>519</v>
      </c>
      <c r="C17" s="8" t="s">
        <v>520</v>
      </c>
      <c r="D17" s="8" t="s">
        <v>521</v>
      </c>
      <c r="E17" s="8" t="s">
        <v>213</v>
      </c>
      <c r="F17" s="8" t="s">
        <v>522</v>
      </c>
      <c r="G17" s="8" t="s">
        <v>523</v>
      </c>
    </row>
    <row r="18" customFormat="false" ht="23.25" hidden="false" customHeight="true" outlineLevel="0" collapsed="false">
      <c r="A18" s="8" t="s">
        <v>524</v>
      </c>
      <c r="B18" s="8" t="s">
        <v>525</v>
      </c>
      <c r="C18" s="8" t="s">
        <v>526</v>
      </c>
      <c r="D18" s="8" t="s">
        <v>491</v>
      </c>
      <c r="E18" s="8" t="s">
        <v>114</v>
      </c>
      <c r="F18" s="8" t="s">
        <v>527</v>
      </c>
      <c r="G18" s="8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2026-10-10T19:36:36Z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